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IHZR\Pictures\RAB DISKOMINFO SKWNG\"/>
    </mc:Choice>
  </mc:AlternateContent>
  <xr:revisionPtr revIDLastSave="0" documentId="13_ncr:1_{1D483A9B-FBC1-4B1E-84D5-D13EDBF39A4E}" xr6:coauthVersionLast="47" xr6:coauthVersionMax="47" xr10:uidLastSave="{00000000-0000-0000-0000-000000000000}"/>
  <bookViews>
    <workbookView xWindow="5760" yWindow="3360" windowWidth="17280" windowHeight="8880" xr2:uid="{00000000-000D-0000-FFFF-FFFF00000000}"/>
  </bookViews>
  <sheets>
    <sheet name="Layanan Diskominfo" sheetId="1" r:id="rId1"/>
    <sheet name="Sheet2" sheetId="2" r:id="rId2"/>
    <sheet name="Rincian RAB" sheetId="3" r:id="rId3"/>
  </sheets>
  <definedNames>
    <definedName name="_xlnm._FilterDatabase" localSheetId="0" hidden="1">'Layanan Diskominfo'!$B$1:$AV$125</definedName>
    <definedName name="_xlnm._FilterDatabase" localSheetId="2" hidden="1">'Rincian RAB'!$A$1:$J$254</definedName>
    <definedName name="_xlnm._FilterDatabase" localSheetId="1" hidden="1">Sheet2!$A$1:$H$66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54" i="3" l="1"/>
  <c r="J253" i="3"/>
  <c r="J252" i="3"/>
  <c r="J251" i="3"/>
  <c r="J250" i="3"/>
  <c r="J249" i="3"/>
  <c r="J66" i="2" s="1"/>
  <c r="K66" i="2" s="1"/>
  <c r="J248" i="3"/>
  <c r="J247" i="3"/>
  <c r="J246" i="3"/>
  <c r="J245" i="3"/>
  <c r="J244" i="3"/>
  <c r="J243" i="3"/>
  <c r="J242" i="3"/>
  <c r="J241" i="3"/>
  <c r="J240" i="3"/>
  <c r="J239" i="3"/>
  <c r="J238" i="3"/>
  <c r="J237" i="3"/>
  <c r="J236" i="3"/>
  <c r="J235" i="3"/>
  <c r="J234" i="3"/>
  <c r="J233" i="3"/>
  <c r="J232" i="3"/>
  <c r="J231" i="3"/>
  <c r="J230" i="3"/>
  <c r="J229" i="3"/>
  <c r="J228" i="3"/>
  <c r="J227" i="3"/>
  <c r="J226" i="3"/>
  <c r="J225" i="3"/>
  <c r="J224" i="3"/>
  <c r="J223" i="3"/>
  <c r="J222" i="3"/>
  <c r="J221" i="3"/>
  <c r="J220" i="3"/>
  <c r="J219" i="3"/>
  <c r="J218" i="3"/>
  <c r="J217" i="3"/>
  <c r="J216" i="3"/>
  <c r="J215" i="3"/>
  <c r="J214" i="3"/>
  <c r="J213" i="3"/>
  <c r="J212" i="3"/>
  <c r="J211" i="3"/>
  <c r="J210" i="3"/>
  <c r="J209" i="3"/>
  <c r="J208" i="3"/>
  <c r="J207" i="3"/>
  <c r="J206" i="3"/>
  <c r="J205" i="3"/>
  <c r="J204" i="3"/>
  <c r="J203" i="3"/>
  <c r="J202" i="3"/>
  <c r="J201" i="3"/>
  <c r="J55" i="2" s="1"/>
  <c r="K55" i="2" s="1"/>
  <c r="J200" i="3"/>
  <c r="J199" i="3"/>
  <c r="J198" i="3"/>
  <c r="J197" i="3"/>
  <c r="J196" i="3"/>
  <c r="J54" i="2" s="1"/>
  <c r="K54" i="2" s="1"/>
  <c r="J195" i="3"/>
  <c r="J194" i="3"/>
  <c r="J193" i="3"/>
  <c r="J192" i="3"/>
  <c r="J191" i="3"/>
  <c r="J190" i="3"/>
  <c r="J189" i="3"/>
  <c r="J188" i="3"/>
  <c r="J187" i="3"/>
  <c r="J186" i="3"/>
  <c r="J185" i="3"/>
  <c r="J184" i="3"/>
  <c r="J53" i="2" s="1"/>
  <c r="K53" i="2" s="1"/>
  <c r="J183" i="3"/>
  <c r="J182" i="3"/>
  <c r="J181" i="3"/>
  <c r="J180" i="3"/>
  <c r="J179" i="3"/>
  <c r="J178" i="3"/>
  <c r="J177" i="3"/>
  <c r="J176" i="3"/>
  <c r="J175" i="3"/>
  <c r="J174" i="3"/>
  <c r="J173" i="3"/>
  <c r="J172" i="3"/>
  <c r="J51" i="2" s="1"/>
  <c r="K51" i="2" s="1"/>
  <c r="J171" i="3"/>
  <c r="J170" i="3"/>
  <c r="J169" i="3"/>
  <c r="J168" i="3"/>
  <c r="J167" i="3"/>
  <c r="J166" i="3"/>
  <c r="J165" i="3"/>
  <c r="J164" i="3"/>
  <c r="J163" i="3"/>
  <c r="J50" i="2" s="1"/>
  <c r="K50" i="2" s="1"/>
  <c r="J162" i="3"/>
  <c r="J161" i="3"/>
  <c r="J160" i="3"/>
  <c r="J46" i="2" s="1"/>
  <c r="K46" i="2" s="1"/>
  <c r="J159" i="3"/>
  <c r="J158" i="3"/>
  <c r="J157" i="3"/>
  <c r="J156" i="3"/>
  <c r="J155" i="3"/>
  <c r="J154" i="3"/>
  <c r="J153" i="3"/>
  <c r="J152" i="3"/>
  <c r="J151" i="3"/>
  <c r="J150" i="3"/>
  <c r="J149" i="3"/>
  <c r="J148" i="3"/>
  <c r="J45" i="2" s="1"/>
  <c r="K45" i="2" s="1"/>
  <c r="J147" i="3"/>
  <c r="J146" i="3"/>
  <c r="J145" i="3"/>
  <c r="J144" i="3"/>
  <c r="J143" i="3"/>
  <c r="J142" i="3"/>
  <c r="J141" i="3"/>
  <c r="J140" i="3"/>
  <c r="J139" i="3"/>
  <c r="J44" i="2" s="1"/>
  <c r="K44" i="2" s="1"/>
  <c r="J138" i="3"/>
  <c r="J137" i="3"/>
  <c r="J136" i="3"/>
  <c r="J43" i="2" s="1"/>
  <c r="K43" i="2" s="1"/>
  <c r="J135" i="3"/>
  <c r="J134" i="3"/>
  <c r="J133" i="3"/>
  <c r="J132" i="3"/>
  <c r="J131" i="3"/>
  <c r="J130" i="3"/>
  <c r="J129" i="3"/>
  <c r="J128" i="3"/>
  <c r="J127" i="3"/>
  <c r="J42" i="2" s="1"/>
  <c r="K42" i="2" s="1"/>
  <c r="J126" i="3"/>
  <c r="J125" i="3"/>
  <c r="J124" i="3"/>
  <c r="J123" i="3"/>
  <c r="J122" i="3"/>
  <c r="J121" i="3"/>
  <c r="J120" i="3"/>
  <c r="J119" i="3"/>
  <c r="J118" i="3"/>
  <c r="J117" i="3"/>
  <c r="J116" i="3"/>
  <c r="J40" i="2" s="1"/>
  <c r="K40" i="2" s="1"/>
  <c r="J115" i="3"/>
  <c r="J114" i="3"/>
  <c r="J113" i="3"/>
  <c r="J112" i="3"/>
  <c r="J33" i="2" s="1"/>
  <c r="K33" i="2" s="1"/>
  <c r="J111" i="3"/>
  <c r="J110" i="3"/>
  <c r="J109" i="3"/>
  <c r="J108" i="3"/>
  <c r="J107" i="3"/>
  <c r="J106" i="3"/>
  <c r="J105" i="3"/>
  <c r="J104" i="3"/>
  <c r="J103" i="3"/>
  <c r="J102" i="3"/>
  <c r="J101" i="3"/>
  <c r="J100" i="3"/>
  <c r="J32" i="2" s="1"/>
  <c r="K32" i="2" s="1"/>
  <c r="J99" i="3"/>
  <c r="J98" i="3"/>
  <c r="J97" i="3"/>
  <c r="J96" i="3"/>
  <c r="J95" i="3"/>
  <c r="J94" i="3"/>
  <c r="J93" i="3"/>
  <c r="J92" i="3"/>
  <c r="J91" i="3"/>
  <c r="J90" i="3"/>
  <c r="J89" i="3"/>
  <c r="J88" i="3"/>
  <c r="J30" i="2" s="1"/>
  <c r="K30" i="2" s="1"/>
  <c r="J87" i="3"/>
  <c r="J86" i="3"/>
  <c r="J85" i="3"/>
  <c r="J84" i="3"/>
  <c r="J83" i="3"/>
  <c r="J82" i="3"/>
  <c r="J81" i="3"/>
  <c r="J80" i="3"/>
  <c r="J79" i="3"/>
  <c r="J78" i="3"/>
  <c r="J77" i="3"/>
  <c r="J76" i="3"/>
  <c r="J29" i="2" s="1"/>
  <c r="K29" i="2" s="1"/>
  <c r="J75" i="3"/>
  <c r="J74" i="3"/>
  <c r="J73" i="3"/>
  <c r="J72" i="3"/>
  <c r="J71" i="3"/>
  <c r="J70" i="3"/>
  <c r="J69" i="3"/>
  <c r="J68" i="3"/>
  <c r="J67" i="3"/>
  <c r="J66" i="3"/>
  <c r="J65" i="3"/>
  <c r="J64" i="3"/>
  <c r="J63" i="3"/>
  <c r="J62" i="3"/>
  <c r="J61" i="3"/>
  <c r="J60" i="3"/>
  <c r="J59" i="3"/>
  <c r="J58" i="3"/>
  <c r="J57" i="3"/>
  <c r="J56" i="3"/>
  <c r="J55" i="3"/>
  <c r="J54" i="3"/>
  <c r="J53" i="3"/>
  <c r="J52" i="3"/>
  <c r="J51" i="3"/>
  <c r="J50" i="3"/>
  <c r="J49" i="3"/>
  <c r="J48" i="3"/>
  <c r="J47" i="3"/>
  <c r="J46" i="3"/>
  <c r="J45" i="3"/>
  <c r="J44" i="3"/>
  <c r="J43" i="3"/>
  <c r="J42" i="3"/>
  <c r="J41" i="3"/>
  <c r="J40" i="3"/>
  <c r="J23" i="2" s="1"/>
  <c r="K23" i="2" s="1"/>
  <c r="J39" i="3"/>
  <c r="J38" i="3"/>
  <c r="J37" i="3"/>
  <c r="J36" i="3"/>
  <c r="J35" i="3"/>
  <c r="J34" i="3"/>
  <c r="J33" i="3"/>
  <c r="J32" i="3"/>
  <c r="J31" i="3"/>
  <c r="J30" i="3"/>
  <c r="J29" i="3"/>
  <c r="J28" i="3"/>
  <c r="J27" i="3"/>
  <c r="J26" i="3"/>
  <c r="J25" i="3"/>
  <c r="J24" i="3"/>
  <c r="J23" i="3"/>
  <c r="J22" i="3"/>
  <c r="J21" i="3"/>
  <c r="J20" i="3"/>
  <c r="J19" i="3"/>
  <c r="J18" i="3"/>
  <c r="J17" i="3"/>
  <c r="J16" i="3"/>
  <c r="J9" i="2" s="1"/>
  <c r="K9" i="2" s="1"/>
  <c r="J15" i="3"/>
  <c r="J14" i="3"/>
  <c r="J13" i="3"/>
  <c r="J12" i="3"/>
  <c r="J11" i="3"/>
  <c r="J10" i="3"/>
  <c r="J9" i="3"/>
  <c r="J8" i="3"/>
  <c r="J7" i="3"/>
  <c r="J6" i="3"/>
  <c r="J5" i="3"/>
  <c r="J4" i="3"/>
  <c r="J4" i="2" s="1"/>
  <c r="K4" i="2" s="1"/>
  <c r="J3" i="3"/>
  <c r="J2" i="3"/>
  <c r="J64" i="2"/>
  <c r="K64" i="2" s="1"/>
  <c r="J63" i="2"/>
  <c r="K63" i="2" s="1"/>
  <c r="J62" i="2"/>
  <c r="K62" i="2" s="1"/>
  <c r="J60" i="2"/>
  <c r="K60" i="2" s="1"/>
  <c r="J58" i="2"/>
  <c r="K58" i="2" s="1"/>
  <c r="J57" i="2"/>
  <c r="K57" i="2" s="1"/>
  <c r="J52" i="2"/>
  <c r="K52" i="2" s="1"/>
  <c r="J49" i="2"/>
  <c r="K49" i="2" s="1"/>
  <c r="J48" i="2"/>
  <c r="K48" i="2" s="1"/>
  <c r="J47" i="2"/>
  <c r="K47" i="2" s="1"/>
  <c r="H43" i="2"/>
  <c r="J41" i="2"/>
  <c r="K41" i="2" s="1"/>
  <c r="J39" i="2"/>
  <c r="K39" i="2" s="1"/>
  <c r="J38" i="2"/>
  <c r="K38" i="2" s="1"/>
  <c r="J37" i="2"/>
  <c r="K37" i="2" s="1"/>
  <c r="H37" i="2"/>
  <c r="J36" i="2"/>
  <c r="K36" i="2" s="1"/>
  <c r="J35" i="2"/>
  <c r="K35" i="2" s="1"/>
  <c r="J34" i="2"/>
  <c r="K34" i="2" s="1"/>
  <c r="J31" i="2"/>
  <c r="K31" i="2" s="1"/>
  <c r="H29" i="2"/>
  <c r="H28" i="2"/>
  <c r="J27" i="2"/>
  <c r="K27" i="2" s="1"/>
  <c r="J25" i="2"/>
  <c r="K25" i="2" s="1"/>
  <c r="J24" i="2"/>
  <c r="K24" i="2" s="1"/>
  <c r="J22" i="2"/>
  <c r="K22" i="2" s="1"/>
  <c r="K21" i="2"/>
  <c r="J21" i="2"/>
  <c r="J20" i="2"/>
  <c r="K20" i="2" s="1"/>
  <c r="J19" i="2"/>
  <c r="K19" i="2" s="1"/>
  <c r="J18" i="2"/>
  <c r="K18" i="2" s="1"/>
  <c r="J17" i="2"/>
  <c r="K17" i="2" s="1"/>
  <c r="J14" i="2"/>
  <c r="K14" i="2" s="1"/>
  <c r="J13" i="2"/>
  <c r="K13" i="2" s="1"/>
  <c r="J12" i="2"/>
  <c r="K12" i="2" s="1"/>
  <c r="J11" i="2"/>
  <c r="K11" i="2" s="1"/>
  <c r="J10" i="2"/>
  <c r="K10" i="2" s="1"/>
  <c r="J8" i="2"/>
  <c r="K8" i="2" s="1"/>
  <c r="J7" i="2"/>
  <c r="K7" i="2" s="1"/>
  <c r="J6" i="2"/>
  <c r="K6" i="2" s="1"/>
  <c r="K5" i="2"/>
  <c r="J5" i="2"/>
  <c r="J3" i="2"/>
  <c r="K3" i="2" s="1"/>
  <c r="J2" i="2"/>
  <c r="J56" i="2" l="1"/>
  <c r="K56" i="2" s="1"/>
  <c r="J59" i="2"/>
  <c r="K59" i="2" s="1"/>
  <c r="J61" i="2"/>
  <c r="K61" i="2" s="1"/>
  <c r="J65" i="2"/>
  <c r="K65" i="2" s="1"/>
  <c r="J16" i="2"/>
  <c r="K16" i="2" s="1"/>
  <c r="J28" i="2"/>
  <c r="K28" i="2" s="1"/>
  <c r="J26" i="2"/>
  <c r="K26" i="2" s="1"/>
  <c r="J15" i="2"/>
  <c r="K15" i="2" s="1"/>
  <c r="H67" i="2"/>
  <c r="J255" i="3"/>
  <c r="K2" i="2"/>
  <c r="J67" i="2" l="1"/>
  <c r="K67" i="2"/>
</calcChain>
</file>

<file path=xl/sharedStrings.xml><?xml version="1.0" encoding="utf-8"?>
<sst xmlns="http://schemas.openxmlformats.org/spreadsheetml/2006/main" count="5873" uniqueCount="424">
  <si>
    <t>No.</t>
  </si>
  <si>
    <t>ID PELANGGAN</t>
  </si>
  <si>
    <t>SERVICE ID</t>
  </si>
  <si>
    <t>NAMA PELANGGAN</t>
  </si>
  <si>
    <t>NPWP</t>
  </si>
  <si>
    <t>NOMOR KONTRAK</t>
  </si>
  <si>
    <t>PERIODE KONTRAK</t>
  </si>
  <si>
    <t>NOMOR KONTRAK LAMA</t>
  </si>
  <si>
    <t>KETERANGAN KONTRAK</t>
  </si>
  <si>
    <t>LAYANAN</t>
  </si>
  <si>
    <t>PRODUK</t>
  </si>
  <si>
    <t>NOMOR AL</t>
  </si>
  <si>
    <t>JENIS MUTASI</t>
  </si>
  <si>
    <t>TANGGAL MUTASI</t>
  </si>
  <si>
    <t>BILLING CUT OFF</t>
  </si>
  <si>
    <t>ALAMAT TERMINATING</t>
  </si>
  <si>
    <t>TERMINASI</t>
  </si>
  <si>
    <t>PORT</t>
  </si>
  <si>
    <t>STATUS PORT</t>
  </si>
  <si>
    <t>KET</t>
  </si>
  <si>
    <t>SBU TERMINATING</t>
  </si>
  <si>
    <t>KP TERMINATING</t>
  </si>
  <si>
    <t>ALAMAT ORIGINATING</t>
  </si>
  <si>
    <t>SBU ORIGINATING</t>
  </si>
  <si>
    <t>KP ORIGINATING</t>
  </si>
  <si>
    <t>ID PERUSAHAAN</t>
  </si>
  <si>
    <t>ID SAP</t>
  </si>
  <si>
    <t>NO AX</t>
  </si>
  <si>
    <t>NOMOR VA / REKENING</t>
  </si>
  <si>
    <t>NAMA SAP</t>
  </si>
  <si>
    <t>STATUS AKTIF</t>
  </si>
  <si>
    <t>STATUS ISOLIR</t>
  </si>
  <si>
    <t>HARGA LAYANAN</t>
  </si>
  <si>
    <t>HARGA INSTALASI</t>
  </si>
  <si>
    <t>ID TAGIHAN</t>
  </si>
  <si>
    <t>ID INVOICE</t>
  </si>
  <si>
    <t>TGL INVOICE</t>
  </si>
  <si>
    <t>PERIODE INVOICE</t>
  </si>
  <si>
    <t>TIPE TAGIHAN</t>
  </si>
  <si>
    <t>SIKLUS BILLING</t>
  </si>
  <si>
    <t>TIPE PELANGGAN</t>
  </si>
  <si>
    <t>JADWAL PENAGIHAN</t>
  </si>
  <si>
    <t>BIDANG REVENUE</t>
  </si>
  <si>
    <t>SUB BIDANG REVENUE</t>
  </si>
  <si>
    <t>SEGMEN ICON</t>
  </si>
  <si>
    <t>SEGMEN CUSTOMER</t>
  </si>
  <si>
    <t>REGIONAL</t>
  </si>
  <si>
    <t>KANTOR PERWAKILAN</t>
  </si>
  <si>
    <t>DISKOMINFO KOTA SINGKAWANG</t>
  </si>
  <si>
    <t>00.280.304.7-702.000</t>
  </si>
  <si>
    <t>EP-01KEQYM0J4BDVEGR7W4RWTXKST</t>
  </si>
  <si>
    <t>2026/02/16 - 2026/12/31</t>
  </si>
  <si>
    <t>-</t>
  </si>
  <si>
    <t>INTERNET DEDICATED DAN JARINGAN METRONET</t>
  </si>
  <si>
    <t>METRONET</t>
  </si>
  <si>
    <t>AKTIVASI</t>
  </si>
  <si>
    <t>[311202004340] PUSKESMAS SINGKAWANG TENGAH 2 - JL AHMAD YANI</t>
  </si>
  <si>
    <t>RKAL-MINI.ODC.UP3.SINGKAWANG-BD.2928-CPE-01</t>
  </si>
  <si>
    <t>g0/8</t>
  </si>
  <si>
    <t>Down</t>
  </si>
  <si>
    <t>Perangkat Hilang</t>
  </si>
  <si>
    <t>KALIMANTAN</t>
  </si>
  <si>
    <t>KALIMANTAN BARAT</t>
  </si>
  <si>
    <t>DISKOMINFO KOTA SINGKAWANG - JL. AHMAD YANI NO. 76</t>
  </si>
  <si>
    <t>AKTIF</t>
  </si>
  <si>
    <t>UNISOLIR</t>
  </si>
  <si>
    <t>0,00</t>
  </si>
  <si>
    <t>--/--/--</t>
  </si>
  <si>
    <t>2026/03/01 - 2026/03/31</t>
  </si>
  <si>
    <t>PREPAID</t>
  </si>
  <si>
    <t>PRORATE</t>
  </si>
  <si>
    <t>SUBSCRIBE</t>
  </si>
  <si>
    <t>1 - BULAN</t>
  </si>
  <si>
    <t>GOVERNMENT</t>
  </si>
  <si>
    <t>KALIMANTAN TIMUR</t>
  </si>
  <si>
    <t>[311202004359] DINAS KESEHATAN DAN KELUARGA BERENCANA - JL. ALIANYANG NO. 7</t>
  </si>
  <si>
    <t>RKAL-DISKOMINFO.KOTA.SINGKAWANG-ZYXEL.MGS3520-CPE-02</t>
  </si>
  <si>
    <t>e 0/0/12</t>
  </si>
  <si>
    <t>Up</t>
  </si>
  <si>
    <t>ok</t>
  </si>
  <si>
    <t>[311202004355] CCTV SEI WIE - JL. ALIANYANG, SEI WEI</t>
  </si>
  <si>
    <t>RKAL-DISKOMINFO.KOTA.SINGKAWANG-ZYXEL.MGS3520-CPE-03</t>
  </si>
  <si>
    <t>e0/0/20</t>
  </si>
  <si>
    <t>[311202004354] DINAS PERDAGANGAN, PERINDUSTRIAN, KOPERASI DAN UKM - JL. FIRDAUS</t>
  </si>
  <si>
    <t>e 0/0/10</t>
  </si>
  <si>
    <t>Digunakan
-Hasil OPM kearah mikrotik -2.99 dbm,
-Hasil OPM kearah HO Low indikasi fo cut
-Mikrotik nyala, tidak ada UTP yang ke colok,
-Hasil OTDR ke arah HO putus di 2.19 Km dari user</t>
  </si>
  <si>
    <t>[311202004356] DINAS PERHUBUNGAN - JL. TERMINAL INDUK SEI WIE</t>
  </si>
  <si>
    <t>e0/0/15</t>
  </si>
  <si>
    <t>[311202004357] CCTV HERMANSYAH - JL. S.M TSJAFIOEDDIN 17-51</t>
  </si>
  <si>
    <t>e0/0/19</t>
  </si>
  <si>
    <t>[311202004351] SEKRETARIAT DPRD - JL. FIRDAUS</t>
  </si>
  <si>
    <t>e 0/0/20</t>
  </si>
  <si>
    <t>Info User OPD tidak digunakan
- perangkat sudah diambil Kominfo
- Kabel Putus Impact renovasi gedung</t>
  </si>
  <si>
    <t>[311202004352] DINAS PENANAMAN MODAL DAN TENAGA KERJA - JL. BKLI KOMPLEK LLK-UKM</t>
  </si>
  <si>
    <t>e 0/0/9</t>
  </si>
  <si>
    <t xml:space="preserve">tidak Digunakan
</t>
  </si>
  <si>
    <t>[311202004360] KANTOR KELURAHAN SEJANGKUNG - JL. RAYA SEJANGKUNG</t>
  </si>
  <si>
    <t>e0/0/9</t>
  </si>
  <si>
    <t>Perangkat Tidak ada</t>
  </si>
  <si>
    <t>[311202004361] KANTOR KELURAHAN PANGMILANG - PANGMILANG</t>
  </si>
  <si>
    <t>e0/0/10</t>
  </si>
  <si>
    <t>[311202004362] KANTOR KELURAHAN SEDAU - JL. RAYA SEDAU</t>
  </si>
  <si>
    <t>e0/0/6</t>
  </si>
  <si>
    <t>Perangkat Ada</t>
  </si>
  <si>
    <t>[311202004363] KANTOR KELURAHAN SAGATANI - JL. SAGATANI</t>
  </si>
  <si>
    <t>e0/0/7</t>
  </si>
  <si>
    <t>MANAGE SERVICE ROUTER</t>
  </si>
  <si>
    <t>MANAGE SERVICE ROUTER BRONZE</t>
  </si>
  <si>
    <t>[311601002580] PUSKESMAS SINGKAWANG SELATAN 1 - JL. RAYA SEDAU</t>
  </si>
  <si>
    <t>RKAL-SHELTER.GI.SINGKAWANG-FH.S4830-CPE-01</t>
  </si>
  <si>
    <t>ge1/0/4</t>
  </si>
  <si>
    <t>[311202004364] KANTOR KELURAHAN NYARUMKOP - NYAR UMKOP</t>
  </si>
  <si>
    <t>e0/0/11</t>
  </si>
  <si>
    <t>[311202004365] KANTOR KELURAHAN MAYASOPA - JL. SEBAKUN</t>
  </si>
  <si>
    <t>e0/0/12</t>
  </si>
  <si>
    <t>[311202004366] KANTOR KELURAHAN BAGAK SAHWA - JL. SINGKAWANG - BENGKAYANG</t>
  </si>
  <si>
    <t>e0/0/13</t>
  </si>
  <si>
    <t>[311202004367] KANTOR KELURAHAN SANGGAU KULOR - JL. SANGGAU KULOR</t>
  </si>
  <si>
    <t>e0/0/14</t>
  </si>
  <si>
    <t>[311202004369] KANTOR CAMAT SINGKAWANG UTARA - SUNGAI BULAN</t>
  </si>
  <si>
    <t>e0/0/16</t>
  </si>
  <si>
    <t>[311202004370] KECAMATAN SINGKAWANG SELATAN - JL. RAYA SEDAU NO. 16</t>
  </si>
  <si>
    <t>e0/0/18</t>
  </si>
  <si>
    <t>[311202004371] KANTOR CAMAT SINGKAWANG TENGAH - JL. PAHLAWAN NO. 1</t>
  </si>
  <si>
    <t>e0/0/17</t>
  </si>
  <si>
    <t>[311202004372] KANTOR CAMAT SINGKAWANG TIMUR - JL. RAYA PAJINTAN</t>
  </si>
  <si>
    <t>e0/0/5</t>
  </si>
  <si>
    <t>[311202004375] KANTOR KELURAHAN SEMELAGI KECIL. - JL. DEMANG AKUB</t>
  </si>
  <si>
    <t>e0/0/8</t>
  </si>
  <si>
    <t>[311202004377] CCTV SIMPANG PU - JL JEND AHMAD YANI</t>
  </si>
  <si>
    <t>e0/0/23</t>
  </si>
  <si>
    <t>[311202004383] CCTV PERBATASAN SAMBAS - JL. PASAR SEMELAGI BESAR</t>
  </si>
  <si>
    <t>RKAL-SHELTER.GI.SINGKAWANG-ASR920-UPE-01</t>
  </si>
  <si>
    <t>Gi0/0/20</t>
  </si>
  <si>
    <t>[311601002581] PUSKESMAS SINGKAWANG TENGAH 1 - JL. SALAM DIMAN</t>
  </si>
  <si>
    <t>ge1/0/2</t>
  </si>
  <si>
    <t>[311601002582] PUSKESMAS SINGKAWANG TENGAH 2 - JL. SUNGAI BARITO</t>
  </si>
  <si>
    <t>[311601002583] PUSKESMAS SINGKAWANG BARAT 1 - JL. ALIANYANG</t>
  </si>
  <si>
    <t>[311601002584] PUSKESMAS SINGKAWANG TIMUR 2 - JL. RAYA SINGKAWANG-BENGKAYANG</t>
  </si>
  <si>
    <t>Baru dikatifkan lagi bulan Mei 2026</t>
  </si>
  <si>
    <t>[311601002585] PUSKESMAS SINGKAWANG TIMUR 1 - JL. RAYA PAJINTAN</t>
  </si>
  <si>
    <t>[311601002586] PUSKESMAS SINGKAWANG BARAT 2 - JL YOHANA</t>
  </si>
  <si>
    <t>[311601002587] PUSKESMAS SINGKAWANG UTARA 1 - JL RATU SEPUDAK</t>
  </si>
  <si>
    <t>[311601002588] PUSKESMAS SINGKAWANG UTARA 2 - JL. DEMANG AKUB</t>
  </si>
  <si>
    <t>[311601002591] DINAS PERUMAHAN PEMUKIMAN DAN PERTANAHAN - JL. AHMAD YANI NOMOR 74</t>
  </si>
  <si>
    <t xml:space="preserve">Info User OPD tidak digunakan
-Kabel Putus, perangkat hilang karena pindah kantor/renovasi </t>
  </si>
  <si>
    <t>[311601002592] DINAS LINGKUNGAN HIDUP - JL. MERDEKA NO. 78</t>
  </si>
  <si>
    <t>Perangkat ada</t>
  </si>
  <si>
    <t>[311601002593] BADAN KEUANGAN DAERAH KOTA SINGKAWANG - JL. FIRDAUS</t>
  </si>
  <si>
    <t>Digunakan
-perangkat nyala
-OPM ke perangkat -2.56dB
- OPM ke HO -7.78 dB</t>
  </si>
  <si>
    <t>[311601002594] DISHUB KIR SINGKAWANG - JL. KRIDASANA</t>
  </si>
  <si>
    <t>Digunakan
-Hasil OPM kearah HO Low
- OPM ke arah rb2011 -3.37
-OTDR putus 157.6 m dari user
- Perangkat nyala
-ada UTP yang kecolok, user masih mau pakai untuk backup</t>
  </si>
  <si>
    <t>[311601002595] PUSKESMAS SINGKAWANG SELATAN 2 - JL. RAYA SAGATANI</t>
  </si>
  <si>
    <t>[311601002596] KANTOR KECAMATAN SINGKAWANG BARAT - PASIRAN</t>
  </si>
  <si>
    <t>[311601002597] KANTOR KELURAHAN SEMELAGI KECIL. - JL. DEMANG AKUB</t>
  </si>
  <si>
    <t>[311601002598] RUMAH DINAS WAKIL WALIKOTA SINGKAWANG - JL. GUNUNG POTENG</t>
  </si>
  <si>
    <t>[311601002599] RUANGAN COMMAND CENTER - JL. FIRDAUS NO. 1</t>
  </si>
  <si>
    <t>[311601002600] KANTOR KELURAHAN BAGAK SAHWA - JL. SINGKAWANG - BENGKAYANG</t>
  </si>
  <si>
    <t>[311601002601] KANTOR KELURAHAN MAYASOPA - JL. SEBAKUN</t>
  </si>
  <si>
    <t>[311601002602] KANTOR CAMAT SINGKAWANG TENGAH - JL. PAHLAWAN</t>
  </si>
  <si>
    <t>[311601002603] KANTOR KELURAHAN PANGMILANG - PANGMILANG</t>
  </si>
  <si>
    <t>[311601002604] INSPEKTORAT - JL. ALIANYANG NO. 1</t>
  </si>
  <si>
    <t>[311601002605] KANTOR KELURAHAN SEDAU - JL. RAYA SEDAU</t>
  </si>
  <si>
    <t>[311601002606] KANTOR KELURAHAN SIJANGKUNG - JL. RAYA SEJANGKUNG</t>
  </si>
  <si>
    <t>[311601002607] DINAS KESEHATAN DAN KELUARGA BERENCANA - JL. ALIANYANG NO. 7</t>
  </si>
  <si>
    <t>[311601002608] DINAS PUPR - JL. PASIRAN</t>
  </si>
  <si>
    <t xml:space="preserve">Tidak Digunakan
-Kabel Putus, perangkat hilang karena pindah kantor/renovasi </t>
  </si>
  <si>
    <t>[311601002609] DINAS PERDAGANGAN, PERINDUSTRIAN, KOPERASI DAN UKM - JL. FIRDAUS</t>
  </si>
  <si>
    <t>[311601002610] DISPORA - JL. KRIDASANA</t>
  </si>
  <si>
    <t>digunakan</t>
  </si>
  <si>
    <t>[311601002611] DINAS PENANAMAN MODAL DAN TENAGA KERJA - JL. BKLI KOMPLEK LLK-UKM</t>
  </si>
  <si>
    <t>tidak digunakan</t>
  </si>
  <si>
    <t>[311601002612] DINAS PERHUBUNGAN - JL. TERMINAL INDUK SEI WIE</t>
  </si>
  <si>
    <t>[311601002613] BKPSDM - JL. FIRDAUS, PASIRAN</t>
  </si>
  <si>
    <t>[311601002614] DINAS SOSIAL, PEMBERDAYAAN PEREMPUAN DAN PERLINDUNGAN ANAK - JL. RAYA SEDAU</t>
  </si>
  <si>
    <t>[311601002615] BADAN PERENCANAAN DAN PEMBANGUNAN - JL. PELITA</t>
  </si>
  <si>
    <t>[311601002616] DINAS PERTANIAN, KETAHANAN PANGAN DAN PERIKANAN - JL. AHMAD YANI</t>
  </si>
  <si>
    <t>Tidak Digunakan
-Perangkat rb2011 mati, adaptor hilang
- hasil opn ke arah HO low,
- OTDR k arah HO putus di 121m
info user OPD jaringan</t>
  </si>
  <si>
    <t>[311601002617] SEKRETARIAT DAERAH - JL. FIRDAUS NO.1</t>
  </si>
  <si>
    <t>Info User OPD  tidak digunakan
- perangkat sudah diambil Kominfo
- Kabel Putus Impact renovasi gedung</t>
  </si>
  <si>
    <t>[311601002618] SEKRETARIAT DPRD - JL. FIRDAUS, PASIRAN</t>
  </si>
  <si>
    <t>[311601002619] KANTOR CAMAT SINGKAWANG TIMUR - JL. RAYA PAJINTAN</t>
  </si>
  <si>
    <t>[311601002620] KANTOR CAMAT SINGKAWANG UTARA - JL. SINKA PERMAI</t>
  </si>
  <si>
    <t>[311202004349] BADAN PERENCANAAN DAN PEMBANGUNAN - JL. PELITA</t>
  </si>
  <si>
    <t>e 0/0/6</t>
  </si>
  <si>
    <t>[311601002621] KANTOR KELURAHAN NYARUMKOP - JL. SINGKAWANG - BENGKAYANG</t>
  </si>
  <si>
    <t>[311601002622] KECAMATAN SINGKAWANG SELATAN - JL. RAYA SEDAU NO. 16</t>
  </si>
  <si>
    <t>[311202004389] CCTV NEW FASHION - JL. GM SITUT 26-22, CONDONG</t>
  </si>
  <si>
    <t>RKAL-DISKOMINFO.KOTA.SINGKAWANG-ZYXEL.MGS3520-CPE-04</t>
  </si>
  <si>
    <t>e 0/0/15</t>
  </si>
  <si>
    <t>0,09</t>
  </si>
  <si>
    <t>[311601002623] KANTOR KELURAHAN SAGATANI -</t>
  </si>
  <si>
    <t>--/--/-- - --/--/--</t>
  </si>
  <si>
    <t>INTERNET BROADBAND CORPORATE</t>
  </si>
  <si>
    <t>INTERNET BROADBAND CORPORATE IP PUBLIK</t>
  </si>
  <si>
    <t>e 0/0/24</t>
  </si>
  <si>
    <t>[311601002624] KANTOR KELURAHAN SANGGAU KULOR - JL. SANGGAU KULOR</t>
  </si>
  <si>
    <t>[311601002625] DINAS KEPENDUDUKAN DAN PENCATATAN SIPIL - JL DR. SUTOMO</t>
  </si>
  <si>
    <t>[311202004350] SEKRETARIAT DAERAH KOTA SINGKAWANG - JL. FIRDAUS NO.1</t>
  </si>
  <si>
    <t>e 0/0/17</t>
  </si>
  <si>
    <t>[311202004385] DINAS LINGKUNGAN HIDUP - JL. MERDEKA NO. 78</t>
  </si>
  <si>
    <t>[311202004335] PUSKESMAS SINGKAWANG TIMUR 1 - JL. RAYA PAJINTAN</t>
  </si>
  <si>
    <t>ge1/0/8</t>
  </si>
  <si>
    <t>[311202004336] PUSKESMAS SINGKAWANG UTARA 1 - JL. RATU SEPUDAK</t>
  </si>
  <si>
    <t>RKAL-SHELTER.GI.SINGKAWANG-FH.S4830-CPE-02</t>
  </si>
  <si>
    <t>ge1/0/6</t>
  </si>
  <si>
    <t>[311202004337] PUSKESMAS SINGKAWANG BARAT 2 - JL. YOHANA</t>
  </si>
  <si>
    <t>ge1/0/1</t>
  </si>
  <si>
    <t>[311202004341] PUSKESMAS SINGKAWANG SELATAN 1 - JL. SEDAU</t>
  </si>
  <si>
    <t>[311202004345] CCTV BUNDARAN AI - DISKOMINFO KOTA SINGKAWANG - JL. AHMAD YANI</t>
  </si>
  <si>
    <t>g0/22</t>
  </si>
  <si>
    <t>[311202004346] PUSKESMAS SINGKAWANG TIMUR 2 - JL. RAYA SINGKAWANG-BENGKAYANG</t>
  </si>
  <si>
    <t>ge1/0/9</t>
  </si>
  <si>
    <t>[311202004347] BKPSDM - JL. FIRDAUS, PASIRAN</t>
  </si>
  <si>
    <t>[311202004348] INSPEKTORAT - JL. ALIANYANG NO.1</t>
  </si>
  <si>
    <t>e 0/0/16</t>
  </si>
  <si>
    <t>[311202004353] DISPORA - JL. KRIDASANA, SINGKAWANG BARAT</t>
  </si>
  <si>
    <t>e 0/0/5</t>
  </si>
  <si>
    <t>[311601002626] BADAN KESATUAN BANGSA DAN POLITIK - JL. DR. SUTOMO</t>
  </si>
  <si>
    <t>[311202004358] DINAS PUPR - JL. PASIRAN, SINGKAWANG BARAT</t>
  </si>
  <si>
    <t>e 0/0/19</t>
  </si>
  <si>
    <t>[311601002627] DINAS PERPUSTAKAAN DAN KEARSIPAN DAERAH SINGKAWANG - JL. MERDEKA NOMOR 5</t>
  </si>
  <si>
    <t>[311601002628] , RSUD ABDUL AZIZ - JL. DR. SUTOMO NOMOR 28, PASIRAN</t>
  </si>
  <si>
    <t>[311601002629] BADAN PENANGGULANGAN BENCANA DAERAH - JL. BUMI SINKA PERMAI</t>
  </si>
  <si>
    <t>[311601002630] SATUAN POLISI PAMONG PRAJA - JL. FIRDAUS, PASIRAN</t>
  </si>
  <si>
    <t>[311601002631] KANTOR KELURAHAN SETAPUK KECIL - JL. HAMID METALI</t>
  </si>
  <si>
    <t>I-WIN / MANAGE SERVICE WIFI</t>
  </si>
  <si>
    <t>I-WIN MEDIUM</t>
  </si>
  <si>
    <t>[311610004314] DISKOMINFO KOTA SINGKAWANG - JL. JEND AHMAD YANI, NO. 76</t>
  </si>
  <si>
    <t>KOMINFO_SINGKAWANG</t>
  </si>
  <si>
    <t>311610004841_LobbyBawah2</t>
  </si>
  <si>
    <t>[311610004315] DISKOMINFO KOTA SINGKAWANG - JL. JEND AHMAD YANI, NO. 76</t>
  </si>
  <si>
    <t xml:space="preserve">
311610004842_RuangRapatBesar</t>
  </si>
  <si>
    <t>[311202004373] RUMAH DINAS WAKIL WALIKOTA. - JL. GUNUNG POTENG</t>
  </si>
  <si>
    <t>e 0/0/11</t>
  </si>
  <si>
    <t>[311610004316] DISKOMINFO KOTA SINGKAWANG - JL. JEND AHMAD YANI, NO. 76</t>
  </si>
  <si>
    <t>311610004840_LobbyAtas</t>
  </si>
  <si>
    <t>[311202004378] CCTV SIMPANG POLRES LAMA - JL. GM SITUT</t>
  </si>
  <si>
    <t>e 0/0/23</t>
  </si>
  <si>
    <t>[311202004381] CCTV SIMPANG BAPPEDA - JL. GUNUNG MERAPI</t>
  </si>
  <si>
    <t>[311202004390] CCTV ROBAN - JL. JENDERAL SUDIRMAN</t>
  </si>
  <si>
    <t>[311202004393] CCTV PASIR PANJANG - JL. RAYA SEDAU</t>
  </si>
  <si>
    <t>e 0/0/22</t>
  </si>
  <si>
    <t>[311202004397] CCTV SIMPANG VIT - JL. PASAR NOMOR 60</t>
  </si>
  <si>
    <t>2026/02/16 - 2026/02/28</t>
  </si>
  <si>
    <t>[311202004398] BADAN PENANGGULANGAN BENCANA DAERAH - JL. BUMI SINKA PERMAI</t>
  </si>
  <si>
    <t>[311202004399] DINAS KEPENDUDUKAN DAN PENCATATAN SIPIL - JL DR. SUTOMO</t>
  </si>
  <si>
    <t>e 0/0/8</t>
  </si>
  <si>
    <t>[311202004342] DINAS SOSIAL, PEMBERDAYAAN PEREMPUAN DAN PERLINDUNGAN ANAK - JL. RAYA SEDAU</t>
  </si>
  <si>
    <t>[311202004343] PUSKESMAS SINGKAWANG SELATAN 2 - JL. RAYA SAGATANI</t>
  </si>
  <si>
    <t>ge1/0/5</t>
  </si>
  <si>
    <t>[311202004344] PUSKESMAS SINGKAWANG UTARA 2 - JL. DEMANG AKUB</t>
  </si>
  <si>
    <t>ge1/0/7</t>
  </si>
  <si>
    <t>[311202004382] BADAN KEUANGAN DAERAH KOTA SINGKAWANG - JL. FIRDAUS</t>
  </si>
  <si>
    <t>e 0/0/18</t>
  </si>
  <si>
    <t>[311610004317] DISKOMINFO KOTA SINGKAWANG - JL. JEND AHMAD YANI, NO. 76</t>
  </si>
  <si>
    <t xml:space="preserve">311610004839_LobbyBawah1
</t>
  </si>
  <si>
    <t>[311202004384] BADAN KESATUAN BANGSA DAN POLITIK - JL. DR. SUTOMO</t>
  </si>
  <si>
    <t>e 0/0/7</t>
  </si>
  <si>
    <t>[311202004386] DINAS PERUMAHAN PEMUKIMAN DAN PERTANAHAN - JL. AHMAD YANI NOMOR 74</t>
  </si>
  <si>
    <t>[311202004387] KANTOR KELURAHAN SETAPUK KECIL - JL. HAMID METALI</t>
  </si>
  <si>
    <t>e 0/0/13</t>
  </si>
  <si>
    <t>[311202004388] CCTV MAHKOTA - JL. AHMAD YANI</t>
  </si>
  <si>
    <t>e 0/0/14</t>
  </si>
  <si>
    <t>[311202004391] SATUAN POLISI PAMONG PRAJA - JL. FIRDAUS, PASIRAN</t>
  </si>
  <si>
    <t>[311202004392] CCTV SIMPANG BAGAK - JL. RAYA SINGKAWANG - BENGKAYANG</t>
  </si>
  <si>
    <t>[311202004394] DINAS PERTANIAN, KETAHANAN PANGAN DAN PERIKANAN - JL. AHMAD YANI</t>
  </si>
  <si>
    <t>-Perangkat rb2011 mati, adaptor hilang
- hasil opn ke arah HO low,
- OTDR k arah HO putus di 121m
info user OPD jaringan tidak digunakan</t>
  </si>
  <si>
    <t>[311202004395] CCTV SIMPANG KUALA - JL. ALIANYANG NOMOR 18-17</t>
  </si>
  <si>
    <t>g0/23</t>
  </si>
  <si>
    <t>[311202004396] CCTV DIPONEGORO - JL. DIPONEGORO</t>
  </si>
  <si>
    <t>[311202004379] RSUD ABDUL AZIZ - JL. DR. SUTOMO NOMOR 28</t>
  </si>
  <si>
    <t>[311202004380] DINAS PERPUSTAKAAN DAN KEARSIPAN DAERAH SINGKAWANG - JL. MERDEKA NOMOR 5</t>
  </si>
  <si>
    <t>[311202004374] KANTOR KECAMATAN SINGKAWANG BARAT - PASIRAN</t>
  </si>
  <si>
    <t>MANAGE SERVICE ROUTER GOLD</t>
  </si>
  <si>
    <t>[311202004376] DISHUB KIR SINGKAWANG - JL. KRIDASANA</t>
  </si>
  <si>
    <t>INTERNET CORPORATE</t>
  </si>
  <si>
    <t>PENAMBAHAN IPV4 PUBLIK INTERNET CORPORATE</t>
  </si>
  <si>
    <t>CHANGE TARIFF</t>
  </si>
  <si>
    <t>e0/0/2</t>
  </si>
  <si>
    <t>[311202004368] RUANGAN COMMAND CENTER - JL. FIRDAUS NO. 1</t>
  </si>
  <si>
    <t>e 0/0/21</t>
  </si>
  <si>
    <t>[311202004338] PUSKESMAS SINGKAWANG TENGAH 1 - JL. SALAM DIMAN</t>
  </si>
  <si>
    <t>[311202004339] PUSKESMAS SINGKAWANG BARAT 1 - JL. ALIANYANG</t>
  </si>
  <si>
    <t>Jarak (m)</t>
  </si>
  <si>
    <t>Koordinat</t>
  </si>
  <si>
    <t>ESTIMASI HARGA</t>
  </si>
  <si>
    <t>TOTAL RINCIAN</t>
  </si>
  <si>
    <t>SELISIH</t>
  </si>
  <si>
    <t>KETERANGAN</t>
  </si>
  <si>
    <t>0.9084563394553016, 109.01020051628777 (IFT)</t>
  </si>
  <si>
    <t>0.9066394358482518, 108.97867828038373 (IFT)</t>
  </si>
  <si>
    <t>0.92368, 108.98645</t>
  </si>
  <si>
    <t>0.9006988811285097, 108.98089358372515</t>
  </si>
  <si>
    <t>0.9219230005101394, 108.98042408922747 (IFT)</t>
  </si>
  <si>
    <t>0.90768, 108.98514 (IFT)</t>
  </si>
  <si>
    <t>0.9035417135563482, 108.9782642837502</t>
  </si>
  <si>
    <t>0.8973369548768787, 108.98090390549905</t>
  </si>
  <si>
    <t>0.8804835029269873, 109.10181111005035 (IFT)</t>
  </si>
  <si>
    <t>0.8259123249687154, 108.98599370816106 (IFT)</t>
  </si>
  <si>
    <t>0.8401540320873829, 108.91355147462126 (IFT)</t>
  </si>
  <si>
    <t>0.8040674642723963, 109.02443349080073 (IFT)</t>
  </si>
  <si>
    <t>0.8773174753062917, 109.06207247731909 (IFT)</t>
  </si>
  <si>
    <t>0.8829885213647275, 109.11933113151379</t>
  </si>
  <si>
    <t>0.86785961094312, 109.09402048977532</t>
  </si>
  <si>
    <t>0.8640142749427572, 109.01608070396233 (IFT)</t>
  </si>
  <si>
    <t>0.9441835275235747, 109.01611195894354 (IFT)</t>
  </si>
  <si>
    <t>0.865161197802931, 108.9296450785621 (IFT)</t>
  </si>
  <si>
    <t>0.9043151829941108, 109.00634659656168 (IFT)</t>
  </si>
  <si>
    <t>0.8816151731106957, 109.04808965523519 (IFT)</t>
  </si>
  <si>
    <t>1.0021824865959554, 109.04817492554486 (IFT)</t>
  </si>
  <si>
    <t>0.89158, 108.96608</t>
  </si>
  <si>
    <t>0.9959, 108.98708 (IFT)</t>
  </si>
  <si>
    <t>-0.022578960555593285, 109.33843578753121</t>
  </si>
  <si>
    <t>0.9088, 108.99076</t>
  </si>
  <si>
    <t>0.904403363851908, 108.9773835086288</t>
  </si>
  <si>
    <t>0.9127931411113182, 108.99084902483739</t>
  </si>
  <si>
    <t>4600069008/4600071153</t>
  </si>
  <si>
    <t>0.876549197599874, 109.04152182781397</t>
  </si>
  <si>
    <t>No. PO: 4600267902</t>
  </si>
  <si>
    <t>0.9759804689605267, 108.98714211484469</t>
  </si>
  <si>
    <t>0.8961413118629321, 108.98149601687484 (IFT)</t>
  </si>
  <si>
    <t>0.8400251924367828, 108.91416115022311</t>
  </si>
  <si>
    <t>0.89251, 108.96386</t>
  </si>
  <si>
    <t>0.8789153011546297, 109.11785379932911 (IFT)</t>
  </si>
  <si>
    <t>0.9046976123361817, 108.97677230349669</t>
  </si>
  <si>
    <t>0.9049977290739513, 108.9770542497433</t>
  </si>
  <si>
    <t>0.8966673218984869, 108.98689409255027</t>
  </si>
  <si>
    <t>PA/ACT/1908/1678/TER
DISKOMINFO KOTA SINGKAWANG (Stadion Kridasana Kota Singkawang)
Jl. Kridasana,Pasiran ,Kota Singkawang ,Kalimantan Barat ,Indonesia ,79123
101920B30708</t>
  </si>
  <si>
    <t>No. PO: 4600065914</t>
  </si>
  <si>
    <t>0.8911946694276672, 108.96813230280699</t>
  </si>
  <si>
    <t>0.9019601547475674, 108.97728499080692</t>
  </si>
  <si>
    <t>0.89993, 108.98581</t>
  </si>
  <si>
    <t>0.8957, 108.98215 (IFT)</t>
  </si>
  <si>
    <t>0.90568, 109.00294</t>
  </si>
  <si>
    <t>0.8406, 108.87853</t>
  </si>
  <si>
    <t>-/4600071432</t>
  </si>
  <si>
    <t>0.93273, 108.98211</t>
  </si>
  <si>
    <t>0.9447512201630487, 109.0158833276672</t>
  </si>
  <si>
    <t>0.896740473186605, 108.97490780343874</t>
  </si>
  <si>
    <t>0.8901024386657391, 108.96784714296616</t>
  </si>
  <si>
    <t>0.8117392953586563, 109.01014530993189 (IFT)</t>
  </si>
  <si>
    <t>0.9421678742873009, 109.01236104340407</t>
  </si>
  <si>
    <t>0.9023708440298541, 108.9783029569979</t>
  </si>
  <si>
    <t>-0.0484230466377581, 109.34189578746451</t>
  </si>
  <si>
    <t>0.8922101053991588, 108.96917404342194</t>
  </si>
  <si>
    <t>0.9693276728862903, 109.010588562173</t>
  </si>
  <si>
    <t>0.89444, 108.97638</t>
  </si>
  <si>
    <t>0.9030356347873767, 108.9784484570582</t>
  </si>
  <si>
    <t>0.86518, 109.1002</t>
  </si>
  <si>
    <t>0.8921743754046321, 108.96856087293133 (IFT)</t>
  </si>
  <si>
    <t>0.91443, 108.98204</t>
  </si>
  <si>
    <t>0.89965, 108.98081</t>
  </si>
  <si>
    <t>0.8955699647662659, 108.97323103081524</t>
  </si>
  <si>
    <t>0.9128439035918634, 108.9905033327927</t>
  </si>
  <si>
    <t>0.8961557600537456, 108.98144438585203</t>
  </si>
  <si>
    <t>0.89701, 108.98688 (HPM Relok)</t>
  </si>
  <si>
    <t>0.9085171941676389, 108.99034581860707</t>
  </si>
  <si>
    <t>0.90792, 108.97911</t>
  </si>
  <si>
    <t>TOTAL</t>
  </si>
  <si>
    <t>NO</t>
  </si>
  <si>
    <t>LOKASI</t>
  </si>
  <si>
    <t>NO. PO</t>
  </si>
  <si>
    <t>KODE</t>
  </si>
  <si>
    <t>URAIAN PEKERJAAN</t>
  </si>
  <si>
    <t>VOLUME</t>
  </si>
  <si>
    <t>SATUAN</t>
  </si>
  <si>
    <t>HARGA SATUAN</t>
  </si>
  <si>
    <t>JUMLAH</t>
  </si>
  <si>
    <t>CCTV SEI WIE - JL. ALIANYANG, SEI WEI</t>
  </si>
  <si>
    <t>Survey jalur kabel incl.Spotting GPS Blk</t>
  </si>
  <si>
    <t>LOT</t>
  </si>
  <si>
    <t>Penarikan FOC ADSS Short Span Blk</t>
  </si>
  <si>
    <t>M</t>
  </si>
  <si>
    <t>Jointing per core incl.labeling JB Blk</t>
  </si>
  <si>
    <t>AU</t>
  </si>
  <si>
    <t>Tracing core (incl.Label Joint Box)Blk</t>
  </si>
  <si>
    <t>OTDR per core Blk</t>
  </si>
  <si>
    <t>Labeling Kabel (1 pole 2 label) Blk</t>
  </si>
  <si>
    <t>U</t>
  </si>
  <si>
    <t>Instalasi Access Point (inc.Survey) Blk</t>
  </si>
  <si>
    <t>Fitting Deadend, 6 - 48 core Blk</t>
  </si>
  <si>
    <t>Fitting Suspension, 6-48 core Blk</t>
  </si>
  <si>
    <t>Patch Cord Single Mode 1 pasang 3m Blk</t>
  </si>
  <si>
    <t>Joint Box 24 Core Blk</t>
  </si>
  <si>
    <t>ODF Wall Mounted 6 Core(tipe SC upc)Blk</t>
  </si>
  <si>
    <t>DINAS PENANAMAN MODAL DAN TENAGA KERJA - JL. BKLI KOMPLEK LLK-UKM</t>
  </si>
  <si>
    <t>Penarikan FOC under 1.000 m Blk</t>
  </si>
  <si>
    <t>Patch Cord Single Mode 1 pasang 10m Blk</t>
  </si>
  <si>
    <t>ODF Rack Mounted 6 Core(tipe SC upc)Blk</t>
  </si>
  <si>
    <t>KANTOR KELURAHAN MAYASOPA - JL. SEBAKUN</t>
  </si>
  <si>
    <t>Labeling InSite Plan(label patchcord Blk</t>
  </si>
  <si>
    <t>Patch Cord Single Mode 1 pasang 5m Blk</t>
  </si>
  <si>
    <t>Transportasi Luar Kota min2Drum150KM Blk</t>
  </si>
  <si>
    <t>KANTOR KELURAHAN BAGAK SAHWA - JL. SINGKAWANG - BENGKAYANG</t>
  </si>
  <si>
    <t>CCTV SIMPANG PU - JL JEND AHMAD YANI</t>
  </si>
  <si>
    <t>CCTV NEW FASHION - JL. GM SITUT 26-22, CONDONG</t>
  </si>
  <si>
    <t>Joint Box 48 Core Blk</t>
  </si>
  <si>
    <t>DINAS LINGKUNGAN HIDUP - JL. MERDEKA NO. 78</t>
  </si>
  <si>
    <t>PUSKESMAS SINGKAWANG TIMUR 1 - JL. RAYA PAJINTAN</t>
  </si>
  <si>
    <t>PUSKESMAS SINGKAWANG UTARA 1 - JL. RATU SEPUDAK</t>
  </si>
  <si>
    <t>ODF Rack Mounted 48 Core Blk</t>
  </si>
  <si>
    <t>PUSKESMAS SINGKAWANG SELATAN 1 - JL. SEDAU</t>
  </si>
  <si>
    <t>CCTV BUNDARAN AI - DISKOMINFO KOTA SINGKAWANG - JL. AHMAD YANI</t>
  </si>
  <si>
    <t>CCTV SIMPANG POLRES LAMA - JL. GM SITUT</t>
  </si>
  <si>
    <t>CCTV ROBAN - JL. JENDERAL SUDIRMAN</t>
  </si>
  <si>
    <t>CCTV PASIR PANJANG - JL. RAYA SEDAU</t>
  </si>
  <si>
    <t>CCTV SIMPANG VIT - JL. PASAR NOMOR 60</t>
  </si>
  <si>
    <t>BADAN PENANGGULANGAN BENCANA DAERAH - JL. BUMI SINKA PERMAI</t>
  </si>
  <si>
    <t>DINAS KEPENDUDUKAN DAN PENCATATAN SIPIL - JL DR. SUTOMO</t>
  </si>
  <si>
    <t>BADAN KEUANGAN DAERAH KOTA SINGKAWANG - JL. FIRDAUS</t>
  </si>
  <si>
    <t>Instalasi FOT MC (POP-CPE) Blk</t>
  </si>
  <si>
    <t>BADAN KESATUAN BANGSA DAN POLITIK - JL. DR. SUTOMO</t>
  </si>
  <si>
    <t>DINAS PERUMAHAN PEMUKIMAN DAN PERTANAHAN - JL. AHMAD YANI NOMOR 74</t>
  </si>
  <si>
    <t>KANTOR KELURAHAN SETAPUK KECIL - JL. HAMID METALI</t>
  </si>
  <si>
    <t>CCTV MAHKOTA - JL. AHMAD YANI</t>
  </si>
  <si>
    <t>SATUAN POLISI PAMONG PRAJA - JL. FIRDAUS, PASIRAN</t>
  </si>
  <si>
    <t>CCTV SIMPANG BAGAK - JL. RAYA SINGKAWANG - BENGKAYANG</t>
  </si>
  <si>
    <t>CCTV SIMPANG KUALA - JL. ALIANYANG NOMOR 18-17</t>
  </si>
  <si>
    <t>CCTV DIPONEGORO - JL. DIPONEGORO</t>
  </si>
  <si>
    <t>RSUD ABDUL AZIZ - JL. DR. SUTOMO NOMOR 28</t>
  </si>
  <si>
    <t>DINAS PERPUSTAKAAN DAN KEARSIPAN DAERAH SINGKAWANG - JL. MERDEKA NOMOR 5</t>
  </si>
  <si>
    <t>PUSKESMAS SINGKAWANG TENGAH 1 - JL. SALAM DIMAN</t>
  </si>
  <si>
    <t>PUSKESMAS SINGKAWANG BARAT 1 - JL. ALIANYANG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</si>
</sst>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/mm/dd"/>
    <numFmt numFmtId="165" formatCode="&quot;Rp&quot;#,##0"/>
    <numFmt numFmtId="166" formatCode="#,##0;\-#,##0;&quot;-&quot;"/>
    <numFmt numFmtId="167" formatCode="#,##0;[Red]\-#,##0;0"/>
  </numFmts>
  <fonts count="10">
    <font>
      <sz val="10"/>
      <color rgb="FF000000"/>
      <name val="Arial"/>
      <scheme val="minor"/>
    </font>
    <font>
      <b/>
      <sz val="12"/>
      <color theme="1"/>
      <name val="Arial"/>
      <scheme val="minor"/>
    </font>
    <font>
      <b/>
      <sz val="12"/>
      <color rgb="FF000000"/>
      <name val="Arial"/>
      <scheme val="minor"/>
    </font>
    <font>
      <sz val="10"/>
      <color theme="1"/>
      <name val="Arial"/>
      <scheme val="minor"/>
    </font>
    <font>
      <sz val="12"/>
      <color theme="1"/>
      <name val="Arial"/>
      <scheme val="minor"/>
    </font>
    <font>
      <sz val="12"/>
      <color rgb="FF000000"/>
      <name val="Arial"/>
      <scheme val="minor"/>
    </font>
    <font>
      <sz val="11"/>
      <color rgb="FF1A1E26"/>
      <name val="Avenir"/>
    </font>
    <font>
      <sz val="12"/>
      <color rgb="FF1A1E26"/>
      <name val="Arial"/>
    </font>
    <font>
      <sz val="12"/>
      <color theme="1"/>
      <name val="Arial"/>
    </font>
    <font>
      <b/>
      <sz val="10"/>
      <color theme="1"/>
      <name val="Arial"/>
      <scheme val="minor"/>
    </font>
  </fonts>
  <fills count="8">
    <fill>
      <patternFill patternType="none"/>
    </fill>
    <fill>
      <patternFill patternType="gray125"/>
    </fill>
    <fill>
      <patternFill patternType="solid">
        <fgColor rgb="FF6D9EEB"/>
        <bgColor rgb="FF6D9EEB"/>
      </patternFill>
    </fill>
    <fill>
      <patternFill patternType="solid">
        <fgColor theme="0"/>
        <bgColor theme="0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48">
    <xf numFmtId="0" fontId="0" fillId="0" borderId="0" xfId="0" applyAlignment="1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164" fontId="3" fillId="3" borderId="1" xfId="0" applyNumberFormat="1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/>
    </xf>
    <xf numFmtId="0" fontId="3" fillId="3" borderId="1" xfId="0" quotePrefix="1" applyFont="1" applyFill="1" applyBorder="1" applyAlignment="1">
      <alignment horizontal="left"/>
    </xf>
    <xf numFmtId="0" fontId="2" fillId="3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/>
    </xf>
    <xf numFmtId="0" fontId="3" fillId="0" borderId="1" xfId="0" applyFont="1" applyBorder="1"/>
    <xf numFmtId="0" fontId="3" fillId="0" borderId="1" xfId="0" quotePrefix="1" applyFont="1" applyBorder="1"/>
    <xf numFmtId="4" fontId="3" fillId="3" borderId="1" xfId="0" applyNumberFormat="1" applyFont="1" applyFill="1" applyBorder="1" applyAlignment="1">
      <alignment horizontal="left"/>
    </xf>
    <xf numFmtId="0" fontId="3" fillId="4" borderId="1" xfId="0" applyFont="1" applyFill="1" applyBorder="1"/>
    <xf numFmtId="4" fontId="3" fillId="4" borderId="1" xfId="0" applyNumberFormat="1" applyFont="1" applyFill="1" applyBorder="1"/>
    <xf numFmtId="0" fontId="3" fillId="4" borderId="1" xfId="0" quotePrefix="1" applyFont="1" applyFill="1" applyBorder="1"/>
    <xf numFmtId="0" fontId="3" fillId="3" borderId="1" xfId="0" applyFont="1" applyFill="1" applyBorder="1" applyAlignment="1">
      <alignment horizontal="left" vertical="center" wrapText="1"/>
    </xf>
    <xf numFmtId="0" fontId="6" fillId="5" borderId="0" xfId="0" applyFont="1" applyFill="1" applyAlignment="1">
      <alignment horizontal="left"/>
    </xf>
    <xf numFmtId="0" fontId="7" fillId="0" borderId="0" xfId="0" applyFont="1" applyAlignment="1">
      <alignment wrapText="1"/>
    </xf>
    <xf numFmtId="0" fontId="8" fillId="0" borderId="0" xfId="0" applyFont="1" applyAlignment="1">
      <alignment horizont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9" fillId="6" borderId="0" xfId="0" applyFont="1" applyFill="1" applyAlignment="1">
      <alignment horizontal="center"/>
    </xf>
    <xf numFmtId="0" fontId="9" fillId="6" borderId="0" xfId="0" applyFont="1" applyFill="1" applyAlignment="1">
      <alignment horizontal="left"/>
    </xf>
    <xf numFmtId="0" fontId="9" fillId="7" borderId="0" xfId="0" applyFont="1" applyFill="1" applyAlignment="1">
      <alignment horizontal="center"/>
    </xf>
    <xf numFmtId="0" fontId="9" fillId="7" borderId="0" xfId="0" applyFont="1" applyFill="1" applyAlignment="1">
      <alignment horizontal="right"/>
    </xf>
    <xf numFmtId="3" fontId="9" fillId="7" borderId="0" xfId="0" applyNumberFormat="1" applyFont="1" applyFill="1" applyAlignment="1">
      <alignment horizontal="right"/>
    </xf>
    <xf numFmtId="0" fontId="3" fillId="0" borderId="0" xfId="0" applyFont="1"/>
    <xf numFmtId="0" fontId="3" fillId="0" borderId="0" xfId="0" quotePrefix="1" applyFont="1"/>
    <xf numFmtId="165" fontId="9" fillId="7" borderId="0" xfId="0" applyNumberFormat="1" applyFont="1" applyFill="1" applyAlignment="1">
      <alignment horizontal="right"/>
    </xf>
    <xf numFmtId="0" fontId="9" fillId="0" borderId="0" xfId="0" applyFont="1" applyAlignment="1">
      <alignment horizontal="center"/>
    </xf>
    <xf numFmtId="0" fontId="0" fillId="0" borderId="0" xfId="0"/>
    <xf numFmtId="166" fontId="3" fillId="0" borderId="0" xfId="0" applyNumberFormat="1" applyFont="1" applyAlignment="1">
      <alignment horizontal="right"/>
    </xf>
    <xf numFmtId="167" fontId="3" fillId="0" borderId="0" xfId="0" applyNumberFormat="1" applyFont="1" applyAlignment="1">
      <alignment horizontal="right"/>
    </xf>
    <xf numFmtId="166" fontId="3" fillId="0" borderId="0" xfId="0" quotePrefix="1" applyNumberFormat="1" applyFont="1" applyAlignment="1">
      <alignment horizontal="right"/>
    </xf>
    <xf numFmtId="0" fontId="9" fillId="0" borderId="0" xfId="0" applyFont="1" applyAlignment="1">
      <alignment horizontal="right"/>
    </xf>
    <xf numFmtId="3" fontId="9" fillId="0" borderId="3" xfId="0" applyNumberFormat="1" applyFont="1" applyBorder="1" applyAlignment="1">
      <alignment horizontal="right"/>
    </xf>
    <xf numFmtId="0" fontId="9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1" fontId="3" fillId="0" borderId="2" xfId="0" applyNumberFormat="1" applyFont="1" applyBorder="1"/>
    <xf numFmtId="0" fontId="3" fillId="0" borderId="2" xfId="0" applyFont="1" applyBorder="1"/>
    <xf numFmtId="3" fontId="3" fillId="0" borderId="2" xfId="0" applyNumberFormat="1" applyFont="1" applyBorder="1"/>
    <xf numFmtId="3" fontId="9" fillId="0" borderId="2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AV752"/>
  <sheetViews>
    <sheetView tabSelected="1"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/>
  <cols>
    <col min="1" max="1" width="7" style="36" hidden="1" customWidth="1"/>
    <col min="2" max="2" width="23.21875" style="36" customWidth="1"/>
    <col min="3" max="3" width="19.44140625" style="36" customWidth="1"/>
    <col min="4" max="4" width="25.109375" style="36" hidden="1" customWidth="1"/>
    <col min="5" max="8" width="12.6640625" style="36" hidden="1" customWidth="1"/>
    <col min="9" max="9" width="58.44140625" style="36" hidden="1" customWidth="1"/>
    <col min="10" max="10" width="32.44140625" style="36" customWidth="1"/>
    <col min="11" max="11" width="33.21875" style="36" hidden="1" customWidth="1"/>
    <col min="12" max="15" width="12.6640625" style="36" hidden="1" customWidth="1"/>
    <col min="16" max="16" width="80.33203125" style="36" customWidth="1"/>
    <col min="17" max="17" width="58" style="36" customWidth="1"/>
    <col min="18" max="18" width="13.21875" style="36" customWidth="1"/>
    <col min="19" max="19" width="16.77734375" style="36" customWidth="1"/>
    <col min="20" max="20" width="43" style="36" customWidth="1"/>
    <col min="33" max="33" width="17.6640625" style="36" customWidth="1"/>
  </cols>
  <sheetData>
    <row r="1" spans="1:48" ht="15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  <c r="T1" s="2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spans="1:48" ht="15.6">
      <c r="A2" s="3">
        <v>1</v>
      </c>
      <c r="B2" s="4">
        <v>311490003398</v>
      </c>
      <c r="C2" s="4">
        <v>311202004727</v>
      </c>
      <c r="D2" s="4" t="s">
        <v>48</v>
      </c>
      <c r="E2" s="4" t="s">
        <v>49</v>
      </c>
      <c r="F2" s="4" t="s">
        <v>50</v>
      </c>
      <c r="G2" s="4" t="s">
        <v>51</v>
      </c>
      <c r="H2" s="4" t="s">
        <v>52</v>
      </c>
      <c r="I2" s="4" t="s">
        <v>53</v>
      </c>
      <c r="J2" s="4" t="s">
        <v>54</v>
      </c>
      <c r="K2" s="4" t="s">
        <v>54</v>
      </c>
      <c r="L2" s="4" t="s">
        <v>52</v>
      </c>
      <c r="M2" s="4" t="s">
        <v>55</v>
      </c>
      <c r="N2" s="5">
        <v>46069</v>
      </c>
      <c r="O2" s="5">
        <v>46054</v>
      </c>
      <c r="P2" s="4" t="s">
        <v>56</v>
      </c>
      <c r="Q2" s="4" t="s">
        <v>57</v>
      </c>
      <c r="R2" s="4" t="s">
        <v>58</v>
      </c>
      <c r="S2" s="6" t="s">
        <v>59</v>
      </c>
      <c r="T2" s="7" t="s">
        <v>60</v>
      </c>
      <c r="U2" s="8" t="s">
        <v>61</v>
      </c>
      <c r="V2" s="8" t="s">
        <v>62</v>
      </c>
      <c r="W2" s="8" t="s">
        <v>63</v>
      </c>
      <c r="X2" s="8" t="s">
        <v>61</v>
      </c>
      <c r="Y2" s="8" t="s">
        <v>62</v>
      </c>
      <c r="Z2" s="8">
        <v>26671</v>
      </c>
      <c r="AA2" s="8">
        <v>200005426</v>
      </c>
      <c r="AB2" s="8">
        <v>140001941</v>
      </c>
      <c r="AC2" s="8" t="s">
        <v>52</v>
      </c>
      <c r="AD2" s="8" t="s">
        <v>52</v>
      </c>
      <c r="AE2" s="8" t="s">
        <v>64</v>
      </c>
      <c r="AF2" s="8" t="s">
        <v>65</v>
      </c>
      <c r="AG2" s="9" t="s">
        <v>66</v>
      </c>
      <c r="AH2" s="9" t="s">
        <v>66</v>
      </c>
      <c r="AI2" s="8" t="s">
        <v>52</v>
      </c>
      <c r="AJ2" s="8">
        <v>90391497</v>
      </c>
      <c r="AK2" s="8" t="s">
        <v>67</v>
      </c>
      <c r="AL2" s="8" t="s">
        <v>68</v>
      </c>
      <c r="AM2" s="8" t="s">
        <v>69</v>
      </c>
      <c r="AN2" s="8" t="s">
        <v>70</v>
      </c>
      <c r="AO2" s="8" t="s">
        <v>71</v>
      </c>
      <c r="AP2" s="8" t="s">
        <v>72</v>
      </c>
      <c r="AQ2" s="8" t="s">
        <v>61</v>
      </c>
      <c r="AR2" s="8" t="s">
        <v>62</v>
      </c>
      <c r="AS2" s="8" t="s">
        <v>73</v>
      </c>
      <c r="AT2" s="8" t="s">
        <v>73</v>
      </c>
      <c r="AU2" s="8" t="s">
        <v>61</v>
      </c>
      <c r="AV2" s="8" t="s">
        <v>74</v>
      </c>
    </row>
    <row r="3" spans="1:48" ht="15.6">
      <c r="A3" s="3">
        <v>2</v>
      </c>
      <c r="B3" s="4">
        <v>311490003398</v>
      </c>
      <c r="C3" s="4">
        <v>311202004728</v>
      </c>
      <c r="D3" s="4" t="s">
        <v>48</v>
      </c>
      <c r="E3" s="4" t="s">
        <v>49</v>
      </c>
      <c r="F3" s="4" t="s">
        <v>50</v>
      </c>
      <c r="G3" s="4" t="s">
        <v>51</v>
      </c>
      <c r="H3" s="4" t="s">
        <v>52</v>
      </c>
      <c r="I3" s="4" t="s">
        <v>53</v>
      </c>
      <c r="J3" s="4" t="s">
        <v>54</v>
      </c>
      <c r="K3" s="4" t="s">
        <v>54</v>
      </c>
      <c r="L3" s="4" t="s">
        <v>52</v>
      </c>
      <c r="M3" s="4" t="s">
        <v>55</v>
      </c>
      <c r="N3" s="5">
        <v>46069</v>
      </c>
      <c r="O3" s="5">
        <v>46054</v>
      </c>
      <c r="P3" s="4" t="s">
        <v>75</v>
      </c>
      <c r="Q3" s="4" t="s">
        <v>76</v>
      </c>
      <c r="R3" s="4" t="s">
        <v>77</v>
      </c>
      <c r="S3" s="6" t="s">
        <v>78</v>
      </c>
      <c r="T3" s="7" t="s">
        <v>79</v>
      </c>
      <c r="U3" s="8" t="s">
        <v>61</v>
      </c>
      <c r="V3" s="8" t="s">
        <v>62</v>
      </c>
      <c r="W3" s="8" t="s">
        <v>63</v>
      </c>
      <c r="X3" s="8" t="s">
        <v>61</v>
      </c>
      <c r="Y3" s="8" t="s">
        <v>62</v>
      </c>
      <c r="Z3" s="8">
        <v>26671</v>
      </c>
      <c r="AA3" s="8">
        <v>200005426</v>
      </c>
      <c r="AB3" s="8">
        <v>140001941</v>
      </c>
      <c r="AC3" s="8" t="s">
        <v>52</v>
      </c>
      <c r="AD3" s="8" t="s">
        <v>52</v>
      </c>
      <c r="AE3" s="8" t="s">
        <v>64</v>
      </c>
      <c r="AF3" s="8" t="s">
        <v>65</v>
      </c>
      <c r="AG3" s="9" t="s">
        <v>66</v>
      </c>
      <c r="AH3" s="9" t="s">
        <v>66</v>
      </c>
      <c r="AI3" s="8" t="s">
        <v>52</v>
      </c>
      <c r="AJ3" s="8">
        <v>90379451</v>
      </c>
      <c r="AK3" s="8" t="s">
        <v>67</v>
      </c>
      <c r="AL3" s="8" t="s">
        <v>68</v>
      </c>
      <c r="AM3" s="8" t="s">
        <v>69</v>
      </c>
      <c r="AN3" s="8" t="s">
        <v>70</v>
      </c>
      <c r="AO3" s="8" t="s">
        <v>71</v>
      </c>
      <c r="AP3" s="8" t="s">
        <v>72</v>
      </c>
      <c r="AQ3" s="8" t="s">
        <v>61</v>
      </c>
      <c r="AR3" s="8" t="s">
        <v>62</v>
      </c>
      <c r="AS3" s="8" t="s">
        <v>73</v>
      </c>
      <c r="AT3" s="8" t="s">
        <v>73</v>
      </c>
      <c r="AU3" s="8" t="s">
        <v>61</v>
      </c>
      <c r="AV3" s="8" t="s">
        <v>74</v>
      </c>
    </row>
    <row r="4" spans="1:48" ht="15.6">
      <c r="A4" s="3">
        <v>3</v>
      </c>
      <c r="B4" s="4">
        <v>311490003398</v>
      </c>
      <c r="C4" s="4">
        <v>311202004731</v>
      </c>
      <c r="D4" s="4" t="s">
        <v>48</v>
      </c>
      <c r="E4" s="4" t="s">
        <v>49</v>
      </c>
      <c r="F4" s="4" t="s">
        <v>50</v>
      </c>
      <c r="G4" s="4" t="s">
        <v>51</v>
      </c>
      <c r="H4" s="4" t="s">
        <v>52</v>
      </c>
      <c r="I4" s="4" t="s">
        <v>53</v>
      </c>
      <c r="J4" s="4" t="s">
        <v>54</v>
      </c>
      <c r="K4" s="4" t="s">
        <v>54</v>
      </c>
      <c r="L4" s="4" t="s">
        <v>52</v>
      </c>
      <c r="M4" s="4" t="s">
        <v>55</v>
      </c>
      <c r="N4" s="5">
        <v>46069</v>
      </c>
      <c r="O4" s="5">
        <v>46054</v>
      </c>
      <c r="P4" s="4" t="s">
        <v>80</v>
      </c>
      <c r="Q4" s="4" t="s">
        <v>81</v>
      </c>
      <c r="R4" s="4" t="s">
        <v>82</v>
      </c>
      <c r="S4" s="6" t="s">
        <v>78</v>
      </c>
      <c r="T4" s="7" t="s">
        <v>79</v>
      </c>
      <c r="U4" s="8" t="s">
        <v>61</v>
      </c>
      <c r="V4" s="8" t="s">
        <v>62</v>
      </c>
      <c r="W4" s="8" t="s">
        <v>63</v>
      </c>
      <c r="X4" s="8" t="s">
        <v>61</v>
      </c>
      <c r="Y4" s="8" t="s">
        <v>62</v>
      </c>
      <c r="Z4" s="8">
        <v>26671</v>
      </c>
      <c r="AA4" s="8">
        <v>200005426</v>
      </c>
      <c r="AB4" s="8">
        <v>140001941</v>
      </c>
      <c r="AC4" s="8" t="s">
        <v>52</v>
      </c>
      <c r="AD4" s="8" t="s">
        <v>52</v>
      </c>
      <c r="AE4" s="8" t="s">
        <v>64</v>
      </c>
      <c r="AF4" s="8" t="s">
        <v>65</v>
      </c>
      <c r="AG4" s="9" t="s">
        <v>66</v>
      </c>
      <c r="AH4" s="9" t="s">
        <v>66</v>
      </c>
      <c r="AI4" s="8" t="s">
        <v>52</v>
      </c>
      <c r="AJ4" s="8">
        <v>90455416</v>
      </c>
      <c r="AK4" s="8" t="s">
        <v>67</v>
      </c>
      <c r="AL4" s="8" t="s">
        <v>68</v>
      </c>
      <c r="AM4" s="8" t="s">
        <v>69</v>
      </c>
      <c r="AN4" s="8" t="s">
        <v>70</v>
      </c>
      <c r="AO4" s="8" t="s">
        <v>71</v>
      </c>
      <c r="AP4" s="8" t="s">
        <v>72</v>
      </c>
      <c r="AQ4" s="8" t="s">
        <v>61</v>
      </c>
      <c r="AR4" s="8" t="s">
        <v>62</v>
      </c>
      <c r="AS4" s="8" t="s">
        <v>73</v>
      </c>
      <c r="AT4" s="8" t="s">
        <v>73</v>
      </c>
      <c r="AU4" s="8" t="s">
        <v>61</v>
      </c>
      <c r="AV4" s="8" t="s">
        <v>74</v>
      </c>
    </row>
    <row r="5" spans="1:48" ht="15.6">
      <c r="A5" s="3">
        <v>2</v>
      </c>
      <c r="B5" s="4">
        <v>311490003398</v>
      </c>
      <c r="C5" s="4">
        <v>311202004730</v>
      </c>
      <c r="D5" s="4" t="s">
        <v>48</v>
      </c>
      <c r="E5" s="4" t="s">
        <v>49</v>
      </c>
      <c r="F5" s="4" t="s">
        <v>50</v>
      </c>
      <c r="G5" s="4" t="s">
        <v>51</v>
      </c>
      <c r="H5" s="4" t="s">
        <v>52</v>
      </c>
      <c r="I5" s="4" t="s">
        <v>53</v>
      </c>
      <c r="J5" s="4" t="s">
        <v>54</v>
      </c>
      <c r="K5" s="4" t="s">
        <v>54</v>
      </c>
      <c r="L5" s="4" t="s">
        <v>52</v>
      </c>
      <c r="M5" s="4" t="s">
        <v>55</v>
      </c>
      <c r="N5" s="5">
        <v>46069</v>
      </c>
      <c r="O5" s="5">
        <v>46054</v>
      </c>
      <c r="P5" s="4" t="s">
        <v>83</v>
      </c>
      <c r="Q5" s="4" t="s">
        <v>76</v>
      </c>
      <c r="R5" s="4" t="s">
        <v>84</v>
      </c>
      <c r="S5" s="6" t="s">
        <v>59</v>
      </c>
      <c r="T5" s="11" t="s">
        <v>85</v>
      </c>
      <c r="U5" s="8" t="s">
        <v>61</v>
      </c>
      <c r="V5" s="8" t="s">
        <v>62</v>
      </c>
      <c r="W5" s="8" t="s">
        <v>63</v>
      </c>
      <c r="X5" s="8" t="s">
        <v>61</v>
      </c>
      <c r="Y5" s="8" t="s">
        <v>62</v>
      </c>
      <c r="Z5" s="8">
        <v>26671</v>
      </c>
      <c r="AA5" s="8">
        <v>200005426</v>
      </c>
      <c r="AB5" s="8">
        <v>140001941</v>
      </c>
      <c r="AC5" s="8" t="s">
        <v>52</v>
      </c>
      <c r="AD5" s="8" t="s">
        <v>52</v>
      </c>
      <c r="AE5" s="8" t="s">
        <v>64</v>
      </c>
      <c r="AF5" s="8" t="s">
        <v>65</v>
      </c>
      <c r="AG5" s="9" t="s">
        <v>66</v>
      </c>
      <c r="AH5" s="9" t="s">
        <v>66</v>
      </c>
      <c r="AI5" s="8" t="s">
        <v>52</v>
      </c>
      <c r="AJ5" s="8">
        <v>90364259</v>
      </c>
      <c r="AK5" s="8" t="s">
        <v>67</v>
      </c>
      <c r="AL5" s="8" t="s">
        <v>68</v>
      </c>
      <c r="AM5" s="8" t="s">
        <v>69</v>
      </c>
      <c r="AN5" s="8" t="s">
        <v>70</v>
      </c>
      <c r="AO5" s="8" t="s">
        <v>71</v>
      </c>
      <c r="AP5" s="8" t="s">
        <v>72</v>
      </c>
      <c r="AQ5" s="8" t="s">
        <v>61</v>
      </c>
      <c r="AR5" s="8" t="s">
        <v>62</v>
      </c>
      <c r="AS5" s="8" t="s">
        <v>73</v>
      </c>
      <c r="AT5" s="8" t="s">
        <v>73</v>
      </c>
      <c r="AU5" s="8" t="s">
        <v>61</v>
      </c>
      <c r="AV5" s="8" t="s">
        <v>74</v>
      </c>
    </row>
    <row r="6" spans="1:48" ht="15.6">
      <c r="A6" s="3">
        <v>5</v>
      </c>
      <c r="B6" s="4">
        <v>311490003398</v>
      </c>
      <c r="C6" s="4">
        <v>311202004732</v>
      </c>
      <c r="D6" s="4" t="s">
        <v>48</v>
      </c>
      <c r="E6" s="4" t="s">
        <v>49</v>
      </c>
      <c r="F6" s="4" t="s">
        <v>50</v>
      </c>
      <c r="G6" s="4" t="s">
        <v>51</v>
      </c>
      <c r="H6" s="4" t="s">
        <v>52</v>
      </c>
      <c r="I6" s="4" t="s">
        <v>53</v>
      </c>
      <c r="J6" s="4" t="s">
        <v>54</v>
      </c>
      <c r="K6" s="4" t="s">
        <v>54</v>
      </c>
      <c r="L6" s="4" t="s">
        <v>52</v>
      </c>
      <c r="M6" s="4" t="s">
        <v>55</v>
      </c>
      <c r="N6" s="5">
        <v>46069</v>
      </c>
      <c r="O6" s="5">
        <v>46054</v>
      </c>
      <c r="P6" s="4" t="s">
        <v>86</v>
      </c>
      <c r="Q6" s="4" t="s">
        <v>81</v>
      </c>
      <c r="R6" s="4" t="s">
        <v>87</v>
      </c>
      <c r="S6" s="6" t="s">
        <v>78</v>
      </c>
      <c r="T6" s="7" t="s">
        <v>79</v>
      </c>
      <c r="U6" s="8" t="s">
        <v>61</v>
      </c>
      <c r="V6" s="8" t="s">
        <v>62</v>
      </c>
      <c r="W6" s="8" t="s">
        <v>63</v>
      </c>
      <c r="X6" s="8" t="s">
        <v>61</v>
      </c>
      <c r="Y6" s="8" t="s">
        <v>62</v>
      </c>
      <c r="Z6" s="8">
        <v>26671</v>
      </c>
      <c r="AA6" s="8">
        <v>200005426</v>
      </c>
      <c r="AB6" s="8">
        <v>140001941</v>
      </c>
      <c r="AC6" s="8" t="s">
        <v>52</v>
      </c>
      <c r="AD6" s="8" t="s">
        <v>52</v>
      </c>
      <c r="AE6" s="8" t="s">
        <v>64</v>
      </c>
      <c r="AF6" s="8" t="s">
        <v>65</v>
      </c>
      <c r="AG6" s="9" t="s">
        <v>66</v>
      </c>
      <c r="AH6" s="9" t="s">
        <v>66</v>
      </c>
      <c r="AI6" s="8" t="s">
        <v>52</v>
      </c>
      <c r="AJ6" s="8">
        <v>90400809</v>
      </c>
      <c r="AK6" s="8" t="s">
        <v>67</v>
      </c>
      <c r="AL6" s="8" t="s">
        <v>68</v>
      </c>
      <c r="AM6" s="8" t="s">
        <v>69</v>
      </c>
      <c r="AN6" s="8" t="s">
        <v>70</v>
      </c>
      <c r="AO6" s="8" t="s">
        <v>71</v>
      </c>
      <c r="AP6" s="8" t="s">
        <v>72</v>
      </c>
      <c r="AQ6" s="8" t="s">
        <v>61</v>
      </c>
      <c r="AR6" s="8" t="s">
        <v>62</v>
      </c>
      <c r="AS6" s="8" t="s">
        <v>73</v>
      </c>
      <c r="AT6" s="8" t="s">
        <v>73</v>
      </c>
      <c r="AU6" s="8" t="s">
        <v>61</v>
      </c>
      <c r="AV6" s="8" t="s">
        <v>74</v>
      </c>
    </row>
    <row r="7" spans="1:48" ht="15.6">
      <c r="A7" s="3">
        <v>6</v>
      </c>
      <c r="B7" s="4">
        <v>311490003398</v>
      </c>
      <c r="C7" s="4">
        <v>311202004682</v>
      </c>
      <c r="D7" s="4" t="s">
        <v>48</v>
      </c>
      <c r="E7" s="4" t="s">
        <v>49</v>
      </c>
      <c r="F7" s="4" t="s">
        <v>50</v>
      </c>
      <c r="G7" s="4" t="s">
        <v>51</v>
      </c>
      <c r="H7" s="4" t="s">
        <v>52</v>
      </c>
      <c r="I7" s="4" t="s">
        <v>53</v>
      </c>
      <c r="J7" s="4" t="s">
        <v>54</v>
      </c>
      <c r="K7" s="4" t="s">
        <v>54</v>
      </c>
      <c r="L7" s="4" t="s">
        <v>52</v>
      </c>
      <c r="M7" s="4" t="s">
        <v>55</v>
      </c>
      <c r="N7" s="5">
        <v>46069</v>
      </c>
      <c r="O7" s="5">
        <v>46054</v>
      </c>
      <c r="P7" s="4" t="s">
        <v>88</v>
      </c>
      <c r="Q7" s="4" t="s">
        <v>81</v>
      </c>
      <c r="R7" s="4" t="s">
        <v>89</v>
      </c>
      <c r="S7" s="6" t="s">
        <v>78</v>
      </c>
      <c r="T7" s="7" t="s">
        <v>79</v>
      </c>
      <c r="U7" s="8" t="s">
        <v>61</v>
      </c>
      <c r="V7" s="8" t="s">
        <v>62</v>
      </c>
      <c r="W7" s="8" t="s">
        <v>63</v>
      </c>
      <c r="X7" s="8" t="s">
        <v>61</v>
      </c>
      <c r="Y7" s="8" t="s">
        <v>62</v>
      </c>
      <c r="Z7" s="8">
        <v>26671</v>
      </c>
      <c r="AA7" s="8">
        <v>200005426</v>
      </c>
      <c r="AB7" s="8">
        <v>140001941</v>
      </c>
      <c r="AC7" s="8" t="s">
        <v>52</v>
      </c>
      <c r="AD7" s="8" t="s">
        <v>52</v>
      </c>
      <c r="AE7" s="8" t="s">
        <v>64</v>
      </c>
      <c r="AF7" s="8" t="s">
        <v>65</v>
      </c>
      <c r="AG7" s="9" t="s">
        <v>66</v>
      </c>
      <c r="AH7" s="9" t="s">
        <v>66</v>
      </c>
      <c r="AI7" s="8" t="s">
        <v>52</v>
      </c>
      <c r="AJ7" s="8">
        <v>90448245</v>
      </c>
      <c r="AK7" s="8" t="s">
        <v>67</v>
      </c>
      <c r="AL7" s="8" t="s">
        <v>68</v>
      </c>
      <c r="AM7" s="8" t="s">
        <v>69</v>
      </c>
      <c r="AN7" s="8" t="s">
        <v>70</v>
      </c>
      <c r="AO7" s="8" t="s">
        <v>71</v>
      </c>
      <c r="AP7" s="8" t="s">
        <v>72</v>
      </c>
      <c r="AQ7" s="8" t="s">
        <v>61</v>
      </c>
      <c r="AR7" s="8" t="s">
        <v>62</v>
      </c>
      <c r="AS7" s="8" t="s">
        <v>73</v>
      </c>
      <c r="AT7" s="8" t="s">
        <v>73</v>
      </c>
      <c r="AU7" s="8" t="s">
        <v>61</v>
      </c>
      <c r="AV7" s="8" t="s">
        <v>74</v>
      </c>
    </row>
    <row r="8" spans="1:48" ht="15.6">
      <c r="A8" s="3">
        <v>3</v>
      </c>
      <c r="B8" s="4">
        <v>311490003398</v>
      </c>
      <c r="C8" s="4">
        <v>311202004733</v>
      </c>
      <c r="D8" s="4" t="s">
        <v>48</v>
      </c>
      <c r="E8" s="4" t="s">
        <v>49</v>
      </c>
      <c r="F8" s="4" t="s">
        <v>50</v>
      </c>
      <c r="G8" s="4" t="s">
        <v>51</v>
      </c>
      <c r="H8" s="4" t="s">
        <v>52</v>
      </c>
      <c r="I8" s="4" t="s">
        <v>53</v>
      </c>
      <c r="J8" s="4" t="s">
        <v>54</v>
      </c>
      <c r="K8" s="4" t="s">
        <v>54</v>
      </c>
      <c r="L8" s="4" t="s">
        <v>52</v>
      </c>
      <c r="M8" s="4" t="s">
        <v>55</v>
      </c>
      <c r="N8" s="5">
        <v>46069</v>
      </c>
      <c r="O8" s="5">
        <v>46054</v>
      </c>
      <c r="P8" s="4" t="s">
        <v>90</v>
      </c>
      <c r="Q8" s="4" t="s">
        <v>76</v>
      </c>
      <c r="R8" s="4" t="s">
        <v>91</v>
      </c>
      <c r="S8" s="6" t="s">
        <v>59</v>
      </c>
      <c r="T8" s="11" t="s">
        <v>92</v>
      </c>
      <c r="U8" s="8" t="s">
        <v>61</v>
      </c>
      <c r="V8" s="8" t="s">
        <v>62</v>
      </c>
      <c r="W8" s="8" t="s">
        <v>63</v>
      </c>
      <c r="X8" s="8" t="s">
        <v>61</v>
      </c>
      <c r="Y8" s="8" t="s">
        <v>62</v>
      </c>
      <c r="Z8" s="8">
        <v>26671</v>
      </c>
      <c r="AA8" s="8">
        <v>200005426</v>
      </c>
      <c r="AB8" s="8">
        <v>140001941</v>
      </c>
      <c r="AC8" s="8" t="s">
        <v>52</v>
      </c>
      <c r="AD8" s="8" t="s">
        <v>52</v>
      </c>
      <c r="AE8" s="8" t="s">
        <v>64</v>
      </c>
      <c r="AF8" s="8" t="s">
        <v>65</v>
      </c>
      <c r="AG8" s="9" t="s">
        <v>66</v>
      </c>
      <c r="AH8" s="9" t="s">
        <v>66</v>
      </c>
      <c r="AI8" s="8" t="s">
        <v>52</v>
      </c>
      <c r="AJ8" s="8">
        <v>90364260</v>
      </c>
      <c r="AK8" s="8" t="s">
        <v>67</v>
      </c>
      <c r="AL8" s="8" t="s">
        <v>68</v>
      </c>
      <c r="AM8" s="8" t="s">
        <v>69</v>
      </c>
      <c r="AN8" s="8" t="s">
        <v>70</v>
      </c>
      <c r="AO8" s="8" t="s">
        <v>71</v>
      </c>
      <c r="AP8" s="8" t="s">
        <v>72</v>
      </c>
      <c r="AQ8" s="8" t="s">
        <v>61</v>
      </c>
      <c r="AR8" s="8" t="s">
        <v>62</v>
      </c>
      <c r="AS8" s="8" t="s">
        <v>73</v>
      </c>
      <c r="AT8" s="8" t="s">
        <v>73</v>
      </c>
      <c r="AU8" s="8" t="s">
        <v>61</v>
      </c>
      <c r="AV8" s="8" t="s">
        <v>74</v>
      </c>
    </row>
    <row r="9" spans="1:48" ht="15.6">
      <c r="A9" s="3">
        <v>4</v>
      </c>
      <c r="B9" s="4">
        <v>311490003398</v>
      </c>
      <c r="C9" s="4">
        <v>311202004734</v>
      </c>
      <c r="D9" s="4" t="s">
        <v>48</v>
      </c>
      <c r="E9" s="4" t="s">
        <v>49</v>
      </c>
      <c r="F9" s="4" t="s">
        <v>50</v>
      </c>
      <c r="G9" s="4" t="s">
        <v>51</v>
      </c>
      <c r="H9" s="4" t="s">
        <v>52</v>
      </c>
      <c r="I9" s="4" t="s">
        <v>53</v>
      </c>
      <c r="J9" s="4" t="s">
        <v>54</v>
      </c>
      <c r="K9" s="4" t="s">
        <v>54</v>
      </c>
      <c r="L9" s="4" t="s">
        <v>52</v>
      </c>
      <c r="M9" s="4" t="s">
        <v>55</v>
      </c>
      <c r="N9" s="5">
        <v>46069</v>
      </c>
      <c r="O9" s="5">
        <v>46054</v>
      </c>
      <c r="P9" s="4" t="s">
        <v>93</v>
      </c>
      <c r="Q9" s="4" t="s">
        <v>76</v>
      </c>
      <c r="R9" s="4" t="s">
        <v>94</v>
      </c>
      <c r="S9" s="6" t="s">
        <v>59</v>
      </c>
      <c r="T9" s="10" t="s">
        <v>95</v>
      </c>
      <c r="U9" s="8" t="s">
        <v>61</v>
      </c>
      <c r="V9" s="8" t="s">
        <v>62</v>
      </c>
      <c r="W9" s="8" t="s">
        <v>63</v>
      </c>
      <c r="X9" s="8" t="s">
        <v>61</v>
      </c>
      <c r="Y9" s="8" t="s">
        <v>62</v>
      </c>
      <c r="Z9" s="8">
        <v>26671</v>
      </c>
      <c r="AA9" s="8">
        <v>200005426</v>
      </c>
      <c r="AB9" s="8">
        <v>140001941</v>
      </c>
      <c r="AC9" s="8" t="s">
        <v>52</v>
      </c>
      <c r="AD9" s="8" t="s">
        <v>52</v>
      </c>
      <c r="AE9" s="8" t="s">
        <v>64</v>
      </c>
      <c r="AF9" s="8" t="s">
        <v>65</v>
      </c>
      <c r="AG9" s="9" t="s">
        <v>66</v>
      </c>
      <c r="AH9" s="9" t="s">
        <v>66</v>
      </c>
      <c r="AI9" s="8" t="s">
        <v>52</v>
      </c>
      <c r="AJ9" s="8">
        <v>90400811</v>
      </c>
      <c r="AK9" s="8" t="s">
        <v>67</v>
      </c>
      <c r="AL9" s="8" t="s">
        <v>68</v>
      </c>
      <c r="AM9" s="8" t="s">
        <v>69</v>
      </c>
      <c r="AN9" s="8" t="s">
        <v>70</v>
      </c>
      <c r="AO9" s="8" t="s">
        <v>71</v>
      </c>
      <c r="AP9" s="8" t="s">
        <v>72</v>
      </c>
      <c r="AQ9" s="8" t="s">
        <v>61</v>
      </c>
      <c r="AR9" s="8" t="s">
        <v>62</v>
      </c>
      <c r="AS9" s="8" t="s">
        <v>73</v>
      </c>
      <c r="AT9" s="8" t="s">
        <v>73</v>
      </c>
      <c r="AU9" s="8" t="s">
        <v>61</v>
      </c>
      <c r="AV9" s="8" t="s">
        <v>74</v>
      </c>
    </row>
    <row r="10" spans="1:48" ht="15.6">
      <c r="A10" s="3">
        <v>5</v>
      </c>
      <c r="B10" s="4">
        <v>311490003398</v>
      </c>
      <c r="C10" s="4">
        <v>311202004729</v>
      </c>
      <c r="D10" s="4" t="s">
        <v>48</v>
      </c>
      <c r="E10" s="4" t="s">
        <v>49</v>
      </c>
      <c r="F10" s="4" t="s">
        <v>50</v>
      </c>
      <c r="G10" s="4" t="s">
        <v>51</v>
      </c>
      <c r="H10" s="4" t="s">
        <v>52</v>
      </c>
      <c r="I10" s="4" t="s">
        <v>53</v>
      </c>
      <c r="J10" s="4" t="s">
        <v>54</v>
      </c>
      <c r="K10" s="4" t="s">
        <v>54</v>
      </c>
      <c r="L10" s="4" t="s">
        <v>52</v>
      </c>
      <c r="M10" s="4" t="s">
        <v>55</v>
      </c>
      <c r="N10" s="5">
        <v>46069</v>
      </c>
      <c r="O10" s="5">
        <v>46054</v>
      </c>
      <c r="P10" s="4" t="s">
        <v>96</v>
      </c>
      <c r="Q10" s="4" t="s">
        <v>81</v>
      </c>
      <c r="R10" s="4" t="s">
        <v>97</v>
      </c>
      <c r="S10" s="6" t="s">
        <v>59</v>
      </c>
      <c r="T10" s="11" t="s">
        <v>98</v>
      </c>
      <c r="U10" s="8" t="s">
        <v>61</v>
      </c>
      <c r="V10" s="8" t="s">
        <v>62</v>
      </c>
      <c r="W10" s="8" t="s">
        <v>52</v>
      </c>
      <c r="X10" s="8" t="s">
        <v>52</v>
      </c>
      <c r="Y10" s="8" t="s">
        <v>52</v>
      </c>
      <c r="Z10" s="8">
        <v>26671</v>
      </c>
      <c r="AA10" s="8">
        <v>200005426</v>
      </c>
      <c r="AB10" s="8">
        <v>140001941</v>
      </c>
      <c r="AC10" s="8" t="s">
        <v>52</v>
      </c>
      <c r="AD10" s="8" t="s">
        <v>52</v>
      </c>
      <c r="AE10" s="8" t="s">
        <v>64</v>
      </c>
      <c r="AF10" s="8" t="s">
        <v>65</v>
      </c>
      <c r="AG10" s="9" t="s">
        <v>66</v>
      </c>
      <c r="AH10" s="9" t="s">
        <v>66</v>
      </c>
      <c r="AI10" s="8" t="s">
        <v>52</v>
      </c>
      <c r="AJ10" s="8">
        <v>90450968</v>
      </c>
      <c r="AK10" s="8" t="s">
        <v>67</v>
      </c>
      <c r="AL10" s="8" t="s">
        <v>68</v>
      </c>
      <c r="AM10" s="8" t="s">
        <v>69</v>
      </c>
      <c r="AN10" s="8" t="s">
        <v>70</v>
      </c>
      <c r="AO10" s="8" t="s">
        <v>71</v>
      </c>
      <c r="AP10" s="8" t="s">
        <v>72</v>
      </c>
      <c r="AQ10" s="8" t="s">
        <v>61</v>
      </c>
      <c r="AR10" s="8" t="s">
        <v>62</v>
      </c>
      <c r="AS10" s="8" t="s">
        <v>73</v>
      </c>
      <c r="AT10" s="8" t="s">
        <v>73</v>
      </c>
      <c r="AU10" s="8" t="s">
        <v>61</v>
      </c>
      <c r="AV10" s="8" t="s">
        <v>74</v>
      </c>
    </row>
    <row r="11" spans="1:48" ht="15.6">
      <c r="A11" s="3">
        <v>10</v>
      </c>
      <c r="B11" s="4">
        <v>311490003398</v>
      </c>
      <c r="C11" s="4">
        <v>311202004684</v>
      </c>
      <c r="D11" s="4" t="s">
        <v>48</v>
      </c>
      <c r="E11" s="4" t="s">
        <v>49</v>
      </c>
      <c r="F11" s="4" t="s">
        <v>50</v>
      </c>
      <c r="G11" s="4" t="s">
        <v>51</v>
      </c>
      <c r="H11" s="4" t="s">
        <v>52</v>
      </c>
      <c r="I11" s="4" t="s">
        <v>53</v>
      </c>
      <c r="J11" s="4" t="s">
        <v>54</v>
      </c>
      <c r="K11" s="4" t="s">
        <v>54</v>
      </c>
      <c r="L11" s="4" t="s">
        <v>52</v>
      </c>
      <c r="M11" s="4" t="s">
        <v>55</v>
      </c>
      <c r="N11" s="5">
        <v>46069</v>
      </c>
      <c r="O11" s="5">
        <v>46054</v>
      </c>
      <c r="P11" s="4" t="s">
        <v>99</v>
      </c>
      <c r="Q11" s="4" t="s">
        <v>81</v>
      </c>
      <c r="R11" s="4" t="s">
        <v>100</v>
      </c>
      <c r="S11" s="6" t="s">
        <v>78</v>
      </c>
      <c r="T11" s="7" t="s">
        <v>79</v>
      </c>
      <c r="U11" s="12" t="s">
        <v>61</v>
      </c>
      <c r="V11" s="12" t="s">
        <v>62</v>
      </c>
      <c r="W11" s="12" t="s">
        <v>52</v>
      </c>
      <c r="X11" s="12" t="s">
        <v>52</v>
      </c>
      <c r="Y11" s="12" t="s">
        <v>52</v>
      </c>
      <c r="Z11" s="12">
        <v>26671</v>
      </c>
      <c r="AA11" s="12">
        <v>200005426</v>
      </c>
      <c r="AB11" s="12">
        <v>140001941</v>
      </c>
      <c r="AC11" s="12" t="s">
        <v>52</v>
      </c>
      <c r="AD11" s="12" t="s">
        <v>52</v>
      </c>
      <c r="AE11" s="12" t="s">
        <v>64</v>
      </c>
      <c r="AF11" s="12" t="s">
        <v>65</v>
      </c>
      <c r="AG11" s="13" t="s">
        <v>66</v>
      </c>
      <c r="AH11" s="13" t="s">
        <v>66</v>
      </c>
      <c r="AI11" s="12" t="s">
        <v>52</v>
      </c>
      <c r="AJ11" s="12">
        <v>90400813</v>
      </c>
      <c r="AK11" s="12" t="s">
        <v>67</v>
      </c>
      <c r="AL11" s="12" t="s">
        <v>68</v>
      </c>
      <c r="AM11" s="12" t="s">
        <v>69</v>
      </c>
      <c r="AN11" s="12" t="s">
        <v>70</v>
      </c>
      <c r="AO11" s="12" t="s">
        <v>71</v>
      </c>
      <c r="AP11" s="12" t="s">
        <v>72</v>
      </c>
      <c r="AQ11" s="12" t="s">
        <v>61</v>
      </c>
      <c r="AR11" s="12" t="s">
        <v>62</v>
      </c>
      <c r="AS11" s="12" t="s">
        <v>73</v>
      </c>
      <c r="AT11" s="12" t="s">
        <v>73</v>
      </c>
      <c r="AU11" s="12" t="s">
        <v>61</v>
      </c>
      <c r="AV11" s="12" t="s">
        <v>74</v>
      </c>
    </row>
    <row r="12" spans="1:48" ht="15.6">
      <c r="A12" s="3">
        <v>6</v>
      </c>
      <c r="B12" s="4">
        <v>311490003398</v>
      </c>
      <c r="C12" s="4">
        <v>311202004685</v>
      </c>
      <c r="D12" s="4" t="s">
        <v>48</v>
      </c>
      <c r="E12" s="4" t="s">
        <v>49</v>
      </c>
      <c r="F12" s="4" t="s">
        <v>50</v>
      </c>
      <c r="G12" s="4" t="s">
        <v>51</v>
      </c>
      <c r="H12" s="4" t="s">
        <v>52</v>
      </c>
      <c r="I12" s="4" t="s">
        <v>53</v>
      </c>
      <c r="J12" s="4" t="s">
        <v>54</v>
      </c>
      <c r="K12" s="4" t="s">
        <v>54</v>
      </c>
      <c r="L12" s="4" t="s">
        <v>52</v>
      </c>
      <c r="M12" s="4" t="s">
        <v>55</v>
      </c>
      <c r="N12" s="5">
        <v>46069</v>
      </c>
      <c r="O12" s="5">
        <v>46054</v>
      </c>
      <c r="P12" s="4" t="s">
        <v>101</v>
      </c>
      <c r="Q12" s="4" t="s">
        <v>81</v>
      </c>
      <c r="R12" s="4" t="s">
        <v>102</v>
      </c>
      <c r="S12" s="6" t="s">
        <v>59</v>
      </c>
      <c r="T12" s="7" t="s">
        <v>103</v>
      </c>
      <c r="U12" s="12" t="s">
        <v>61</v>
      </c>
      <c r="V12" s="12" t="s">
        <v>62</v>
      </c>
      <c r="W12" s="12" t="s">
        <v>52</v>
      </c>
      <c r="X12" s="12" t="s">
        <v>52</v>
      </c>
      <c r="Y12" s="12" t="s">
        <v>52</v>
      </c>
      <c r="Z12" s="12">
        <v>26671</v>
      </c>
      <c r="AA12" s="12">
        <v>200005426</v>
      </c>
      <c r="AB12" s="12">
        <v>140001941</v>
      </c>
      <c r="AC12" s="12" t="s">
        <v>52</v>
      </c>
      <c r="AD12" s="12" t="s">
        <v>52</v>
      </c>
      <c r="AE12" s="12" t="s">
        <v>64</v>
      </c>
      <c r="AF12" s="12" t="s">
        <v>65</v>
      </c>
      <c r="AG12" s="13" t="s">
        <v>66</v>
      </c>
      <c r="AH12" s="13" t="s">
        <v>66</v>
      </c>
      <c r="AI12" s="12" t="s">
        <v>52</v>
      </c>
      <c r="AJ12" s="12">
        <v>90363054</v>
      </c>
      <c r="AK12" s="12" t="s">
        <v>67</v>
      </c>
      <c r="AL12" s="12" t="s">
        <v>68</v>
      </c>
      <c r="AM12" s="12" t="s">
        <v>69</v>
      </c>
      <c r="AN12" s="12" t="s">
        <v>70</v>
      </c>
      <c r="AO12" s="12" t="s">
        <v>71</v>
      </c>
      <c r="AP12" s="12" t="s">
        <v>72</v>
      </c>
      <c r="AQ12" s="12" t="s">
        <v>61</v>
      </c>
      <c r="AR12" s="12" t="s">
        <v>62</v>
      </c>
      <c r="AS12" s="12" t="s">
        <v>73</v>
      </c>
      <c r="AT12" s="12" t="s">
        <v>73</v>
      </c>
      <c r="AU12" s="12" t="s">
        <v>61</v>
      </c>
      <c r="AV12" s="12" t="s">
        <v>74</v>
      </c>
    </row>
    <row r="13" spans="1:48" ht="15.6">
      <c r="A13" s="3">
        <v>12</v>
      </c>
      <c r="B13" s="4">
        <v>311490003398</v>
      </c>
      <c r="C13" s="4">
        <v>311202004686</v>
      </c>
      <c r="D13" s="4" t="s">
        <v>48</v>
      </c>
      <c r="E13" s="4" t="s">
        <v>49</v>
      </c>
      <c r="F13" s="4" t="s">
        <v>50</v>
      </c>
      <c r="G13" s="4" t="s">
        <v>51</v>
      </c>
      <c r="H13" s="4" t="s">
        <v>52</v>
      </c>
      <c r="I13" s="4" t="s">
        <v>53</v>
      </c>
      <c r="J13" s="4" t="s">
        <v>54</v>
      </c>
      <c r="K13" s="4" t="s">
        <v>54</v>
      </c>
      <c r="L13" s="4" t="s">
        <v>52</v>
      </c>
      <c r="M13" s="4" t="s">
        <v>55</v>
      </c>
      <c r="N13" s="5">
        <v>46069</v>
      </c>
      <c r="O13" s="5">
        <v>46054</v>
      </c>
      <c r="P13" s="4" t="s">
        <v>104</v>
      </c>
      <c r="Q13" s="4" t="s">
        <v>81</v>
      </c>
      <c r="R13" s="4" t="s">
        <v>105</v>
      </c>
      <c r="S13" s="6" t="s">
        <v>78</v>
      </c>
      <c r="T13" s="7" t="s">
        <v>79</v>
      </c>
      <c r="U13" s="12" t="s">
        <v>61</v>
      </c>
      <c r="V13" s="12" t="s">
        <v>62</v>
      </c>
      <c r="W13" s="12" t="s">
        <v>52</v>
      </c>
      <c r="X13" s="12" t="s">
        <v>52</v>
      </c>
      <c r="Y13" s="12" t="s">
        <v>52</v>
      </c>
      <c r="Z13" s="12">
        <v>26671</v>
      </c>
      <c r="AA13" s="12">
        <v>200005426</v>
      </c>
      <c r="AB13" s="12">
        <v>140001941</v>
      </c>
      <c r="AC13" s="12" t="s">
        <v>52</v>
      </c>
      <c r="AD13" s="12" t="s">
        <v>52</v>
      </c>
      <c r="AE13" s="12" t="s">
        <v>64</v>
      </c>
      <c r="AF13" s="12" t="s">
        <v>65</v>
      </c>
      <c r="AG13" s="13" t="s">
        <v>66</v>
      </c>
      <c r="AH13" s="13" t="s">
        <v>66</v>
      </c>
      <c r="AI13" s="12" t="s">
        <v>52</v>
      </c>
      <c r="AJ13" s="12">
        <v>90364261</v>
      </c>
      <c r="AK13" s="12" t="s">
        <v>67</v>
      </c>
      <c r="AL13" s="12" t="s">
        <v>68</v>
      </c>
      <c r="AM13" s="12" t="s">
        <v>69</v>
      </c>
      <c r="AN13" s="12" t="s">
        <v>70</v>
      </c>
      <c r="AO13" s="12" t="s">
        <v>71</v>
      </c>
      <c r="AP13" s="12" t="s">
        <v>72</v>
      </c>
      <c r="AQ13" s="12" t="s">
        <v>61</v>
      </c>
      <c r="AR13" s="12" t="s">
        <v>62</v>
      </c>
      <c r="AS13" s="12" t="s">
        <v>73</v>
      </c>
      <c r="AT13" s="12" t="s">
        <v>73</v>
      </c>
      <c r="AU13" s="12" t="s">
        <v>61</v>
      </c>
      <c r="AV13" s="12" t="s">
        <v>74</v>
      </c>
    </row>
    <row r="14" spans="1:48" ht="15.6">
      <c r="A14" s="3">
        <v>1</v>
      </c>
      <c r="B14" s="4">
        <v>311490003398</v>
      </c>
      <c r="C14" s="4">
        <v>311601002732</v>
      </c>
      <c r="D14" s="4" t="s">
        <v>48</v>
      </c>
      <c r="E14" s="4" t="s">
        <v>49</v>
      </c>
      <c r="F14" s="4" t="s">
        <v>50</v>
      </c>
      <c r="G14" s="4" t="s">
        <v>51</v>
      </c>
      <c r="H14" s="4" t="s">
        <v>52</v>
      </c>
      <c r="I14" s="4" t="s">
        <v>53</v>
      </c>
      <c r="J14" s="4" t="s">
        <v>106</v>
      </c>
      <c r="K14" s="4" t="s">
        <v>107</v>
      </c>
      <c r="L14" s="4" t="s">
        <v>52</v>
      </c>
      <c r="M14" s="4" t="s">
        <v>55</v>
      </c>
      <c r="N14" s="5">
        <v>46069</v>
      </c>
      <c r="O14" s="5">
        <v>46054</v>
      </c>
      <c r="P14" s="4" t="s">
        <v>108</v>
      </c>
      <c r="Q14" s="4" t="s">
        <v>109</v>
      </c>
      <c r="R14" s="4" t="s">
        <v>110</v>
      </c>
      <c r="S14" s="6" t="s">
        <v>59</v>
      </c>
      <c r="T14" s="7" t="s">
        <v>60</v>
      </c>
      <c r="U14" s="12" t="s">
        <v>61</v>
      </c>
      <c r="V14" s="12" t="s">
        <v>62</v>
      </c>
      <c r="W14" s="12" t="s">
        <v>52</v>
      </c>
      <c r="X14" s="12" t="s">
        <v>52</v>
      </c>
      <c r="Y14" s="12" t="s">
        <v>52</v>
      </c>
      <c r="Z14" s="12">
        <v>26671</v>
      </c>
      <c r="AA14" s="12">
        <v>200005426</v>
      </c>
      <c r="AB14" s="12">
        <v>140001941</v>
      </c>
      <c r="AC14" s="12" t="s">
        <v>52</v>
      </c>
      <c r="AD14" s="12" t="s">
        <v>52</v>
      </c>
      <c r="AE14" s="12" t="s">
        <v>64</v>
      </c>
      <c r="AF14" s="12" t="s">
        <v>65</v>
      </c>
      <c r="AG14" s="13" t="s">
        <v>66</v>
      </c>
      <c r="AH14" s="13" t="s">
        <v>66</v>
      </c>
      <c r="AI14" s="12" t="s">
        <v>52</v>
      </c>
      <c r="AJ14" s="12">
        <v>90448247</v>
      </c>
      <c r="AK14" s="12" t="s">
        <v>67</v>
      </c>
      <c r="AL14" s="12" t="s">
        <v>68</v>
      </c>
      <c r="AM14" s="12" t="s">
        <v>69</v>
      </c>
      <c r="AN14" s="12" t="s">
        <v>70</v>
      </c>
      <c r="AO14" s="12" t="s">
        <v>71</v>
      </c>
      <c r="AP14" s="12" t="s">
        <v>72</v>
      </c>
      <c r="AQ14" s="12" t="s">
        <v>61</v>
      </c>
      <c r="AR14" s="12" t="s">
        <v>62</v>
      </c>
      <c r="AS14" s="12" t="s">
        <v>73</v>
      </c>
      <c r="AT14" s="12" t="s">
        <v>73</v>
      </c>
      <c r="AU14" s="12" t="s">
        <v>61</v>
      </c>
      <c r="AV14" s="12" t="s">
        <v>74</v>
      </c>
    </row>
    <row r="15" spans="1:48" ht="15.6">
      <c r="A15" s="3">
        <v>14</v>
      </c>
      <c r="B15" s="4">
        <v>311490003398</v>
      </c>
      <c r="C15" s="4">
        <v>311202004687</v>
      </c>
      <c r="D15" s="4" t="s">
        <v>48</v>
      </c>
      <c r="E15" s="4" t="s">
        <v>49</v>
      </c>
      <c r="F15" s="4" t="s">
        <v>50</v>
      </c>
      <c r="G15" s="4" t="s">
        <v>51</v>
      </c>
      <c r="H15" s="4" t="s">
        <v>52</v>
      </c>
      <c r="I15" s="4" t="s">
        <v>53</v>
      </c>
      <c r="J15" s="4" t="s">
        <v>54</v>
      </c>
      <c r="K15" s="4" t="s">
        <v>54</v>
      </c>
      <c r="L15" s="4" t="s">
        <v>52</v>
      </c>
      <c r="M15" s="4" t="s">
        <v>55</v>
      </c>
      <c r="N15" s="5">
        <v>46069</v>
      </c>
      <c r="O15" s="5">
        <v>46054</v>
      </c>
      <c r="P15" s="4" t="s">
        <v>111</v>
      </c>
      <c r="Q15" s="4" t="s">
        <v>81</v>
      </c>
      <c r="R15" s="4" t="s">
        <v>112</v>
      </c>
      <c r="S15" s="6" t="s">
        <v>78</v>
      </c>
      <c r="T15" s="11" t="s">
        <v>79</v>
      </c>
      <c r="U15" s="12" t="s">
        <v>61</v>
      </c>
      <c r="V15" s="12" t="s">
        <v>62</v>
      </c>
      <c r="W15" s="12" t="s">
        <v>52</v>
      </c>
      <c r="X15" s="12" t="s">
        <v>52</v>
      </c>
      <c r="Y15" s="12" t="s">
        <v>52</v>
      </c>
      <c r="Z15" s="12">
        <v>26671</v>
      </c>
      <c r="AA15" s="12">
        <v>200005426</v>
      </c>
      <c r="AB15" s="12">
        <v>140001941</v>
      </c>
      <c r="AC15" s="12" t="s">
        <v>52</v>
      </c>
      <c r="AD15" s="12" t="s">
        <v>52</v>
      </c>
      <c r="AE15" s="12" t="s">
        <v>64</v>
      </c>
      <c r="AF15" s="12" t="s">
        <v>65</v>
      </c>
      <c r="AG15" s="13" t="s">
        <v>66</v>
      </c>
      <c r="AH15" s="13" t="s">
        <v>66</v>
      </c>
      <c r="AI15" s="12" t="s">
        <v>52</v>
      </c>
      <c r="AJ15" s="12">
        <v>90378858</v>
      </c>
      <c r="AK15" s="12" t="s">
        <v>67</v>
      </c>
      <c r="AL15" s="12" t="s">
        <v>68</v>
      </c>
      <c r="AM15" s="12" t="s">
        <v>69</v>
      </c>
      <c r="AN15" s="12" t="s">
        <v>70</v>
      </c>
      <c r="AO15" s="12" t="s">
        <v>71</v>
      </c>
      <c r="AP15" s="12" t="s">
        <v>72</v>
      </c>
      <c r="AQ15" s="12" t="s">
        <v>61</v>
      </c>
      <c r="AR15" s="12" t="s">
        <v>62</v>
      </c>
      <c r="AS15" s="12" t="s">
        <v>73</v>
      </c>
      <c r="AT15" s="12" t="s">
        <v>73</v>
      </c>
      <c r="AU15" s="12" t="s">
        <v>61</v>
      </c>
      <c r="AV15" s="12" t="s">
        <v>74</v>
      </c>
    </row>
    <row r="16" spans="1:48" ht="15.6">
      <c r="A16" s="3">
        <v>15</v>
      </c>
      <c r="B16" s="4">
        <v>311490003398</v>
      </c>
      <c r="C16" s="4">
        <v>311202004688</v>
      </c>
      <c r="D16" s="4" t="s">
        <v>48</v>
      </c>
      <c r="E16" s="4" t="s">
        <v>49</v>
      </c>
      <c r="F16" s="4" t="s">
        <v>50</v>
      </c>
      <c r="G16" s="4" t="s">
        <v>51</v>
      </c>
      <c r="H16" s="4" t="s">
        <v>52</v>
      </c>
      <c r="I16" s="4" t="s">
        <v>53</v>
      </c>
      <c r="J16" s="4" t="s">
        <v>54</v>
      </c>
      <c r="K16" s="4" t="s">
        <v>54</v>
      </c>
      <c r="L16" s="4" t="s">
        <v>52</v>
      </c>
      <c r="M16" s="4" t="s">
        <v>55</v>
      </c>
      <c r="N16" s="5">
        <v>46069</v>
      </c>
      <c r="O16" s="5">
        <v>46054</v>
      </c>
      <c r="P16" s="4" t="s">
        <v>113</v>
      </c>
      <c r="Q16" s="4" t="s">
        <v>81</v>
      </c>
      <c r="R16" s="4" t="s">
        <v>114</v>
      </c>
      <c r="S16" s="6" t="s">
        <v>78</v>
      </c>
      <c r="T16" s="7" t="s">
        <v>79</v>
      </c>
      <c r="U16" s="12" t="s">
        <v>61</v>
      </c>
      <c r="V16" s="12" t="s">
        <v>62</v>
      </c>
      <c r="W16" s="12" t="s">
        <v>52</v>
      </c>
      <c r="X16" s="12" t="s">
        <v>52</v>
      </c>
      <c r="Y16" s="12" t="s">
        <v>52</v>
      </c>
      <c r="Z16" s="12">
        <v>26671</v>
      </c>
      <c r="AA16" s="12">
        <v>200005426</v>
      </c>
      <c r="AB16" s="12">
        <v>140001941</v>
      </c>
      <c r="AC16" s="12" t="s">
        <v>52</v>
      </c>
      <c r="AD16" s="12" t="s">
        <v>52</v>
      </c>
      <c r="AE16" s="12" t="s">
        <v>64</v>
      </c>
      <c r="AF16" s="12" t="s">
        <v>65</v>
      </c>
      <c r="AG16" s="13" t="s">
        <v>66</v>
      </c>
      <c r="AH16" s="13" t="s">
        <v>66</v>
      </c>
      <c r="AI16" s="12" t="s">
        <v>52</v>
      </c>
      <c r="AJ16" s="12">
        <v>90448248</v>
      </c>
      <c r="AK16" s="12" t="s">
        <v>67</v>
      </c>
      <c r="AL16" s="12" t="s">
        <v>68</v>
      </c>
      <c r="AM16" s="12" t="s">
        <v>69</v>
      </c>
      <c r="AN16" s="12" t="s">
        <v>70</v>
      </c>
      <c r="AO16" s="12" t="s">
        <v>71</v>
      </c>
      <c r="AP16" s="12" t="s">
        <v>72</v>
      </c>
      <c r="AQ16" s="12" t="s">
        <v>61</v>
      </c>
      <c r="AR16" s="12" t="s">
        <v>62</v>
      </c>
      <c r="AS16" s="12" t="s">
        <v>73</v>
      </c>
      <c r="AT16" s="12" t="s">
        <v>73</v>
      </c>
      <c r="AU16" s="12" t="s">
        <v>61</v>
      </c>
      <c r="AV16" s="12" t="s">
        <v>74</v>
      </c>
    </row>
    <row r="17" spans="1:48" ht="15.6">
      <c r="A17" s="3">
        <v>16</v>
      </c>
      <c r="B17" s="4">
        <v>311490003398</v>
      </c>
      <c r="C17" s="4">
        <v>311202004689</v>
      </c>
      <c r="D17" s="4" t="s">
        <v>48</v>
      </c>
      <c r="E17" s="4" t="s">
        <v>49</v>
      </c>
      <c r="F17" s="4" t="s">
        <v>50</v>
      </c>
      <c r="G17" s="4" t="s">
        <v>51</v>
      </c>
      <c r="H17" s="4" t="s">
        <v>52</v>
      </c>
      <c r="I17" s="4" t="s">
        <v>53</v>
      </c>
      <c r="J17" s="4" t="s">
        <v>54</v>
      </c>
      <c r="K17" s="4" t="s">
        <v>54</v>
      </c>
      <c r="L17" s="4" t="s">
        <v>52</v>
      </c>
      <c r="M17" s="4" t="s">
        <v>55</v>
      </c>
      <c r="N17" s="5">
        <v>46069</v>
      </c>
      <c r="O17" s="5">
        <v>46054</v>
      </c>
      <c r="P17" s="4" t="s">
        <v>115</v>
      </c>
      <c r="Q17" s="4" t="s">
        <v>81</v>
      </c>
      <c r="R17" s="4" t="s">
        <v>116</v>
      </c>
      <c r="S17" s="6" t="s">
        <v>78</v>
      </c>
      <c r="T17" s="7" t="s">
        <v>79</v>
      </c>
      <c r="U17" s="12" t="s">
        <v>61</v>
      </c>
      <c r="V17" s="12" t="s">
        <v>62</v>
      </c>
      <c r="W17" s="12" t="s">
        <v>52</v>
      </c>
      <c r="X17" s="12" t="s">
        <v>52</v>
      </c>
      <c r="Y17" s="12" t="s">
        <v>52</v>
      </c>
      <c r="Z17" s="12">
        <v>26671</v>
      </c>
      <c r="AA17" s="12">
        <v>200005426</v>
      </c>
      <c r="AB17" s="12">
        <v>140001941</v>
      </c>
      <c r="AC17" s="12" t="s">
        <v>52</v>
      </c>
      <c r="AD17" s="12" t="s">
        <v>52</v>
      </c>
      <c r="AE17" s="12" t="s">
        <v>64</v>
      </c>
      <c r="AF17" s="12" t="s">
        <v>65</v>
      </c>
      <c r="AG17" s="13" t="s">
        <v>66</v>
      </c>
      <c r="AH17" s="13" t="s">
        <v>66</v>
      </c>
      <c r="AI17" s="12" t="s">
        <v>52</v>
      </c>
      <c r="AJ17" s="12">
        <v>90428249</v>
      </c>
      <c r="AK17" s="12" t="s">
        <v>67</v>
      </c>
      <c r="AL17" s="12" t="s">
        <v>68</v>
      </c>
      <c r="AM17" s="12" t="s">
        <v>69</v>
      </c>
      <c r="AN17" s="12" t="s">
        <v>70</v>
      </c>
      <c r="AO17" s="12" t="s">
        <v>71</v>
      </c>
      <c r="AP17" s="12" t="s">
        <v>72</v>
      </c>
      <c r="AQ17" s="12" t="s">
        <v>61</v>
      </c>
      <c r="AR17" s="12" t="s">
        <v>62</v>
      </c>
      <c r="AS17" s="12" t="s">
        <v>73</v>
      </c>
      <c r="AT17" s="12" t="s">
        <v>73</v>
      </c>
      <c r="AU17" s="12" t="s">
        <v>61</v>
      </c>
      <c r="AV17" s="12" t="s">
        <v>74</v>
      </c>
    </row>
    <row r="18" spans="1:48" ht="15.6">
      <c r="A18" s="3">
        <v>17</v>
      </c>
      <c r="B18" s="4">
        <v>311490003398</v>
      </c>
      <c r="C18" s="4">
        <v>311202004723</v>
      </c>
      <c r="D18" s="4" t="s">
        <v>52</v>
      </c>
      <c r="E18" s="4" t="s">
        <v>49</v>
      </c>
      <c r="F18" s="4" t="s">
        <v>50</v>
      </c>
      <c r="G18" s="4" t="s">
        <v>51</v>
      </c>
      <c r="H18" s="4" t="s">
        <v>52</v>
      </c>
      <c r="I18" s="4" t="s">
        <v>53</v>
      </c>
      <c r="J18" s="4" t="s">
        <v>54</v>
      </c>
      <c r="K18" s="4" t="s">
        <v>54</v>
      </c>
      <c r="L18" s="4" t="s">
        <v>52</v>
      </c>
      <c r="M18" s="4" t="s">
        <v>55</v>
      </c>
      <c r="N18" s="5">
        <v>46069</v>
      </c>
      <c r="O18" s="5">
        <v>46054</v>
      </c>
      <c r="P18" s="4" t="s">
        <v>117</v>
      </c>
      <c r="Q18" s="4" t="s">
        <v>81</v>
      </c>
      <c r="R18" s="4" t="s">
        <v>118</v>
      </c>
      <c r="S18" s="6" t="s">
        <v>78</v>
      </c>
      <c r="T18" s="7" t="s">
        <v>79</v>
      </c>
      <c r="U18" s="12" t="s">
        <v>61</v>
      </c>
      <c r="V18" s="12" t="s">
        <v>62</v>
      </c>
      <c r="W18" s="12" t="s">
        <v>52</v>
      </c>
      <c r="X18" s="12" t="s">
        <v>52</v>
      </c>
      <c r="Y18" s="12" t="s">
        <v>52</v>
      </c>
      <c r="Z18" s="12">
        <v>26671</v>
      </c>
      <c r="AA18" s="12">
        <v>200005426</v>
      </c>
      <c r="AB18" s="12">
        <v>140001941</v>
      </c>
      <c r="AC18" s="12" t="s">
        <v>52</v>
      </c>
      <c r="AD18" s="12" t="s">
        <v>52</v>
      </c>
      <c r="AE18" s="12" t="s">
        <v>64</v>
      </c>
      <c r="AF18" s="12" t="s">
        <v>65</v>
      </c>
      <c r="AG18" s="13" t="s">
        <v>66</v>
      </c>
      <c r="AH18" s="13" t="s">
        <v>66</v>
      </c>
      <c r="AI18" s="12" t="s">
        <v>52</v>
      </c>
      <c r="AJ18" s="12">
        <v>90364262</v>
      </c>
      <c r="AK18" s="12" t="s">
        <v>67</v>
      </c>
      <c r="AL18" s="12" t="s">
        <v>68</v>
      </c>
      <c r="AM18" s="12" t="s">
        <v>69</v>
      </c>
      <c r="AN18" s="12" t="s">
        <v>70</v>
      </c>
      <c r="AO18" s="12" t="s">
        <v>71</v>
      </c>
      <c r="AP18" s="12" t="s">
        <v>72</v>
      </c>
      <c r="AQ18" s="12" t="s">
        <v>61</v>
      </c>
      <c r="AR18" s="12" t="s">
        <v>62</v>
      </c>
      <c r="AS18" s="12" t="s">
        <v>73</v>
      </c>
      <c r="AT18" s="12" t="s">
        <v>73</v>
      </c>
      <c r="AU18" s="12" t="s">
        <v>61</v>
      </c>
      <c r="AV18" s="12" t="s">
        <v>74</v>
      </c>
    </row>
    <row r="19" spans="1:48" ht="15.6">
      <c r="A19" s="3">
        <v>7</v>
      </c>
      <c r="B19" s="4">
        <v>311490003398</v>
      </c>
      <c r="C19" s="4">
        <v>311202004690</v>
      </c>
      <c r="D19" s="4" t="s">
        <v>48</v>
      </c>
      <c r="E19" s="4" t="s">
        <v>49</v>
      </c>
      <c r="F19" s="4" t="s">
        <v>50</v>
      </c>
      <c r="G19" s="4" t="s">
        <v>51</v>
      </c>
      <c r="H19" s="4" t="s">
        <v>52</v>
      </c>
      <c r="I19" s="4" t="s">
        <v>53</v>
      </c>
      <c r="J19" s="4" t="s">
        <v>54</v>
      </c>
      <c r="K19" s="4" t="s">
        <v>54</v>
      </c>
      <c r="L19" s="4" t="s">
        <v>52</v>
      </c>
      <c r="M19" s="4" t="s">
        <v>55</v>
      </c>
      <c r="N19" s="5">
        <v>46069</v>
      </c>
      <c r="O19" s="5">
        <v>46054</v>
      </c>
      <c r="P19" s="4" t="s">
        <v>119</v>
      </c>
      <c r="Q19" s="4" t="s">
        <v>81</v>
      </c>
      <c r="R19" s="4" t="s">
        <v>120</v>
      </c>
      <c r="S19" s="6" t="s">
        <v>59</v>
      </c>
      <c r="T19" s="7" t="s">
        <v>103</v>
      </c>
      <c r="U19" s="12" t="s">
        <v>61</v>
      </c>
      <c r="V19" s="12" t="s">
        <v>62</v>
      </c>
      <c r="W19" s="12" t="s">
        <v>52</v>
      </c>
      <c r="X19" s="12" t="s">
        <v>52</v>
      </c>
      <c r="Y19" s="12" t="s">
        <v>52</v>
      </c>
      <c r="Z19" s="12">
        <v>26671</v>
      </c>
      <c r="AA19" s="12">
        <v>200005426</v>
      </c>
      <c r="AB19" s="12">
        <v>140001941</v>
      </c>
      <c r="AC19" s="12" t="s">
        <v>52</v>
      </c>
      <c r="AD19" s="12" t="s">
        <v>52</v>
      </c>
      <c r="AE19" s="12" t="s">
        <v>64</v>
      </c>
      <c r="AF19" s="12" t="s">
        <v>65</v>
      </c>
      <c r="AG19" s="13" t="s">
        <v>66</v>
      </c>
      <c r="AH19" s="13" t="s">
        <v>66</v>
      </c>
      <c r="AI19" s="12" t="s">
        <v>52</v>
      </c>
      <c r="AJ19" s="12">
        <v>90448250</v>
      </c>
      <c r="AK19" s="12" t="s">
        <v>67</v>
      </c>
      <c r="AL19" s="12" t="s">
        <v>68</v>
      </c>
      <c r="AM19" s="12" t="s">
        <v>69</v>
      </c>
      <c r="AN19" s="12" t="s">
        <v>70</v>
      </c>
      <c r="AO19" s="12" t="s">
        <v>71</v>
      </c>
      <c r="AP19" s="12" t="s">
        <v>72</v>
      </c>
      <c r="AQ19" s="12" t="s">
        <v>61</v>
      </c>
      <c r="AR19" s="12" t="s">
        <v>62</v>
      </c>
      <c r="AS19" s="12" t="s">
        <v>73</v>
      </c>
      <c r="AT19" s="12" t="s">
        <v>73</v>
      </c>
      <c r="AU19" s="12" t="s">
        <v>61</v>
      </c>
      <c r="AV19" s="12" t="s">
        <v>74</v>
      </c>
    </row>
    <row r="20" spans="1:48" ht="15.6">
      <c r="A20" s="3">
        <v>19</v>
      </c>
      <c r="B20" s="4">
        <v>311490003398</v>
      </c>
      <c r="C20" s="4">
        <v>311202004691</v>
      </c>
      <c r="D20" s="4" t="s">
        <v>48</v>
      </c>
      <c r="E20" s="4" t="s">
        <v>49</v>
      </c>
      <c r="F20" s="4" t="s">
        <v>50</v>
      </c>
      <c r="G20" s="4" t="s">
        <v>51</v>
      </c>
      <c r="H20" s="4" t="s">
        <v>52</v>
      </c>
      <c r="I20" s="4" t="s">
        <v>53</v>
      </c>
      <c r="J20" s="4" t="s">
        <v>54</v>
      </c>
      <c r="K20" s="4" t="s">
        <v>54</v>
      </c>
      <c r="L20" s="4" t="s">
        <v>52</v>
      </c>
      <c r="M20" s="4" t="s">
        <v>55</v>
      </c>
      <c r="N20" s="5">
        <v>46069</v>
      </c>
      <c r="O20" s="5">
        <v>46054</v>
      </c>
      <c r="P20" s="4" t="s">
        <v>121</v>
      </c>
      <c r="Q20" s="4" t="s">
        <v>81</v>
      </c>
      <c r="R20" s="4" t="s">
        <v>122</v>
      </c>
      <c r="S20" s="6" t="s">
        <v>78</v>
      </c>
      <c r="T20" s="7" t="s">
        <v>79</v>
      </c>
      <c r="U20" s="12" t="s">
        <v>61</v>
      </c>
      <c r="V20" s="12" t="s">
        <v>62</v>
      </c>
      <c r="W20" s="12" t="s">
        <v>52</v>
      </c>
      <c r="X20" s="12" t="s">
        <v>52</v>
      </c>
      <c r="Y20" s="12" t="s">
        <v>52</v>
      </c>
      <c r="Z20" s="12">
        <v>26671</v>
      </c>
      <c r="AA20" s="12">
        <v>200005426</v>
      </c>
      <c r="AB20" s="12">
        <v>140001941</v>
      </c>
      <c r="AC20" s="12" t="s">
        <v>52</v>
      </c>
      <c r="AD20" s="12" t="s">
        <v>52</v>
      </c>
      <c r="AE20" s="12" t="s">
        <v>64</v>
      </c>
      <c r="AF20" s="12" t="s">
        <v>65</v>
      </c>
      <c r="AG20" s="13" t="s">
        <v>66</v>
      </c>
      <c r="AH20" s="13" t="s">
        <v>66</v>
      </c>
      <c r="AI20" s="12" t="s">
        <v>52</v>
      </c>
      <c r="AJ20" s="12">
        <v>90377340</v>
      </c>
      <c r="AK20" s="12" t="s">
        <v>67</v>
      </c>
      <c r="AL20" s="12" t="s">
        <v>68</v>
      </c>
      <c r="AM20" s="12" t="s">
        <v>69</v>
      </c>
      <c r="AN20" s="12" t="s">
        <v>70</v>
      </c>
      <c r="AO20" s="12" t="s">
        <v>71</v>
      </c>
      <c r="AP20" s="12" t="s">
        <v>72</v>
      </c>
      <c r="AQ20" s="12" t="s">
        <v>61</v>
      </c>
      <c r="AR20" s="12" t="s">
        <v>62</v>
      </c>
      <c r="AS20" s="12" t="s">
        <v>73</v>
      </c>
      <c r="AT20" s="12" t="s">
        <v>73</v>
      </c>
      <c r="AU20" s="12" t="s">
        <v>61</v>
      </c>
      <c r="AV20" s="12" t="s">
        <v>74</v>
      </c>
    </row>
    <row r="21" spans="1:48" ht="15.6">
      <c r="A21" s="3">
        <v>8</v>
      </c>
      <c r="B21" s="4">
        <v>311490003398</v>
      </c>
      <c r="C21" s="4">
        <v>311202004721</v>
      </c>
      <c r="D21" s="4" t="s">
        <v>52</v>
      </c>
      <c r="E21" s="4" t="s">
        <v>49</v>
      </c>
      <c r="F21" s="4" t="s">
        <v>50</v>
      </c>
      <c r="G21" s="4" t="s">
        <v>51</v>
      </c>
      <c r="H21" s="4" t="s">
        <v>52</v>
      </c>
      <c r="I21" s="4" t="s">
        <v>53</v>
      </c>
      <c r="J21" s="4" t="s">
        <v>54</v>
      </c>
      <c r="K21" s="4" t="s">
        <v>54</v>
      </c>
      <c r="L21" s="4" t="s">
        <v>52</v>
      </c>
      <c r="M21" s="4" t="s">
        <v>55</v>
      </c>
      <c r="N21" s="5">
        <v>46069</v>
      </c>
      <c r="O21" s="5">
        <v>46054</v>
      </c>
      <c r="P21" s="4" t="s">
        <v>123</v>
      </c>
      <c r="Q21" s="4" t="s">
        <v>81</v>
      </c>
      <c r="R21" s="4" t="s">
        <v>124</v>
      </c>
      <c r="S21" s="6" t="s">
        <v>59</v>
      </c>
      <c r="T21" s="7" t="s">
        <v>103</v>
      </c>
      <c r="U21" s="12" t="s">
        <v>61</v>
      </c>
      <c r="V21" s="12" t="s">
        <v>62</v>
      </c>
      <c r="W21" s="12" t="s">
        <v>52</v>
      </c>
      <c r="X21" s="12" t="s">
        <v>52</v>
      </c>
      <c r="Y21" s="12" t="s">
        <v>52</v>
      </c>
      <c r="Z21" s="12">
        <v>26671</v>
      </c>
      <c r="AA21" s="12">
        <v>200005426</v>
      </c>
      <c r="AB21" s="12">
        <v>140001941</v>
      </c>
      <c r="AC21" s="12" t="s">
        <v>52</v>
      </c>
      <c r="AD21" s="12" t="s">
        <v>52</v>
      </c>
      <c r="AE21" s="12" t="s">
        <v>64</v>
      </c>
      <c r="AF21" s="12" t="s">
        <v>65</v>
      </c>
      <c r="AG21" s="13" t="s">
        <v>66</v>
      </c>
      <c r="AH21" s="13" t="s">
        <v>66</v>
      </c>
      <c r="AI21" s="12" t="s">
        <v>52</v>
      </c>
      <c r="AJ21" s="12">
        <v>90443561</v>
      </c>
      <c r="AK21" s="12" t="s">
        <v>67</v>
      </c>
      <c r="AL21" s="12" t="s">
        <v>68</v>
      </c>
      <c r="AM21" s="12" t="s">
        <v>69</v>
      </c>
      <c r="AN21" s="12" t="s">
        <v>70</v>
      </c>
      <c r="AO21" s="12" t="s">
        <v>71</v>
      </c>
      <c r="AP21" s="12" t="s">
        <v>72</v>
      </c>
      <c r="AQ21" s="12" t="s">
        <v>61</v>
      </c>
      <c r="AR21" s="12" t="s">
        <v>62</v>
      </c>
      <c r="AS21" s="12" t="s">
        <v>73</v>
      </c>
      <c r="AT21" s="12" t="s">
        <v>73</v>
      </c>
      <c r="AU21" s="12" t="s">
        <v>61</v>
      </c>
      <c r="AV21" s="12" t="s">
        <v>74</v>
      </c>
    </row>
    <row r="22" spans="1:48" ht="15.6">
      <c r="A22" s="3">
        <v>9</v>
      </c>
      <c r="B22" s="4">
        <v>311490003398</v>
      </c>
      <c r="C22" s="4">
        <v>311202004722</v>
      </c>
      <c r="D22" s="4" t="s">
        <v>52</v>
      </c>
      <c r="E22" s="4" t="s">
        <v>49</v>
      </c>
      <c r="F22" s="4" t="s">
        <v>50</v>
      </c>
      <c r="G22" s="4" t="s">
        <v>51</v>
      </c>
      <c r="H22" s="4" t="s">
        <v>52</v>
      </c>
      <c r="I22" s="4" t="s">
        <v>53</v>
      </c>
      <c r="J22" s="4" t="s">
        <v>54</v>
      </c>
      <c r="K22" s="4" t="s">
        <v>54</v>
      </c>
      <c r="L22" s="4" t="s">
        <v>52</v>
      </c>
      <c r="M22" s="4" t="s">
        <v>55</v>
      </c>
      <c r="N22" s="5">
        <v>46069</v>
      </c>
      <c r="O22" s="5">
        <v>46054</v>
      </c>
      <c r="P22" s="4" t="s">
        <v>125</v>
      </c>
      <c r="Q22" s="4" t="s">
        <v>81</v>
      </c>
      <c r="R22" s="4" t="s">
        <v>126</v>
      </c>
      <c r="S22" s="6" t="s">
        <v>59</v>
      </c>
      <c r="T22" s="7" t="s">
        <v>103</v>
      </c>
      <c r="U22" s="12" t="s">
        <v>61</v>
      </c>
      <c r="V22" s="12" t="s">
        <v>62</v>
      </c>
      <c r="W22" s="12" t="s">
        <v>52</v>
      </c>
      <c r="X22" s="12" t="s">
        <v>52</v>
      </c>
      <c r="Y22" s="12" t="s">
        <v>52</v>
      </c>
      <c r="Z22" s="12">
        <v>26671</v>
      </c>
      <c r="AA22" s="12">
        <v>200005426</v>
      </c>
      <c r="AB22" s="12">
        <v>140001941</v>
      </c>
      <c r="AC22" s="12" t="s">
        <v>52</v>
      </c>
      <c r="AD22" s="12" t="s">
        <v>52</v>
      </c>
      <c r="AE22" s="12" t="s">
        <v>64</v>
      </c>
      <c r="AF22" s="12" t="s">
        <v>65</v>
      </c>
      <c r="AG22" s="13" t="s">
        <v>66</v>
      </c>
      <c r="AH22" s="13" t="s">
        <v>66</v>
      </c>
      <c r="AI22" s="12" t="s">
        <v>52</v>
      </c>
      <c r="AJ22" s="12">
        <v>90455289</v>
      </c>
      <c r="AK22" s="12" t="s">
        <v>67</v>
      </c>
      <c r="AL22" s="12" t="s">
        <v>68</v>
      </c>
      <c r="AM22" s="12" t="s">
        <v>69</v>
      </c>
      <c r="AN22" s="12" t="s">
        <v>70</v>
      </c>
      <c r="AO22" s="12" t="s">
        <v>71</v>
      </c>
      <c r="AP22" s="12" t="s">
        <v>72</v>
      </c>
      <c r="AQ22" s="12" t="s">
        <v>61</v>
      </c>
      <c r="AR22" s="12" t="s">
        <v>62</v>
      </c>
      <c r="AS22" s="12" t="s">
        <v>73</v>
      </c>
      <c r="AT22" s="12" t="s">
        <v>73</v>
      </c>
      <c r="AU22" s="12" t="s">
        <v>61</v>
      </c>
      <c r="AV22" s="12" t="s">
        <v>74</v>
      </c>
    </row>
    <row r="23" spans="1:48" ht="15.6">
      <c r="A23" s="3">
        <v>22</v>
      </c>
      <c r="B23" s="4">
        <v>311490003398</v>
      </c>
      <c r="C23" s="4">
        <v>311202004719</v>
      </c>
      <c r="D23" s="4" t="s">
        <v>52</v>
      </c>
      <c r="E23" s="4" t="s">
        <v>49</v>
      </c>
      <c r="F23" s="4" t="s">
        <v>50</v>
      </c>
      <c r="G23" s="4" t="s">
        <v>51</v>
      </c>
      <c r="H23" s="4" t="s">
        <v>52</v>
      </c>
      <c r="I23" s="4" t="s">
        <v>53</v>
      </c>
      <c r="J23" s="4" t="s">
        <v>54</v>
      </c>
      <c r="K23" s="4" t="s">
        <v>54</v>
      </c>
      <c r="L23" s="4" t="s">
        <v>52</v>
      </c>
      <c r="M23" s="4" t="s">
        <v>55</v>
      </c>
      <c r="N23" s="5">
        <v>46069</v>
      </c>
      <c r="O23" s="5">
        <v>46054</v>
      </c>
      <c r="P23" s="4" t="s">
        <v>127</v>
      </c>
      <c r="Q23" s="4" t="s">
        <v>81</v>
      </c>
      <c r="R23" s="4" t="s">
        <v>128</v>
      </c>
      <c r="S23" s="6" t="s">
        <v>78</v>
      </c>
      <c r="T23" s="7" t="s">
        <v>79</v>
      </c>
      <c r="U23" s="12" t="s">
        <v>61</v>
      </c>
      <c r="V23" s="12" t="s">
        <v>62</v>
      </c>
      <c r="W23" s="12" t="s">
        <v>52</v>
      </c>
      <c r="X23" s="12" t="s">
        <v>52</v>
      </c>
      <c r="Y23" s="12" t="s">
        <v>52</v>
      </c>
      <c r="Z23" s="12">
        <v>26671</v>
      </c>
      <c r="AA23" s="12">
        <v>200005426</v>
      </c>
      <c r="AB23" s="12">
        <v>140001941</v>
      </c>
      <c r="AC23" s="12" t="s">
        <v>52</v>
      </c>
      <c r="AD23" s="12" t="s">
        <v>52</v>
      </c>
      <c r="AE23" s="12" t="s">
        <v>64</v>
      </c>
      <c r="AF23" s="12" t="s">
        <v>65</v>
      </c>
      <c r="AG23" s="13" t="s">
        <v>66</v>
      </c>
      <c r="AH23" s="13" t="s">
        <v>66</v>
      </c>
      <c r="AI23" s="12" t="s">
        <v>52</v>
      </c>
      <c r="AJ23" s="12">
        <v>90364263</v>
      </c>
      <c r="AK23" s="12" t="s">
        <v>67</v>
      </c>
      <c r="AL23" s="12" t="s">
        <v>68</v>
      </c>
      <c r="AM23" s="12" t="s">
        <v>69</v>
      </c>
      <c r="AN23" s="12" t="s">
        <v>70</v>
      </c>
      <c r="AO23" s="12" t="s">
        <v>71</v>
      </c>
      <c r="AP23" s="12" t="s">
        <v>72</v>
      </c>
      <c r="AQ23" s="12" t="s">
        <v>61</v>
      </c>
      <c r="AR23" s="12" t="s">
        <v>62</v>
      </c>
      <c r="AS23" s="12" t="s">
        <v>73</v>
      </c>
      <c r="AT23" s="12" t="s">
        <v>73</v>
      </c>
      <c r="AU23" s="12" t="s">
        <v>61</v>
      </c>
      <c r="AV23" s="12" t="s">
        <v>74</v>
      </c>
    </row>
    <row r="24" spans="1:48" ht="15.6">
      <c r="A24" s="3">
        <v>23</v>
      </c>
      <c r="B24" s="4">
        <v>311490003398</v>
      </c>
      <c r="C24" s="4">
        <v>311202004693</v>
      </c>
      <c r="D24" s="4" t="s">
        <v>48</v>
      </c>
      <c r="E24" s="4" t="s">
        <v>49</v>
      </c>
      <c r="F24" s="4" t="s">
        <v>50</v>
      </c>
      <c r="G24" s="4" t="s">
        <v>51</v>
      </c>
      <c r="H24" s="4" t="s">
        <v>52</v>
      </c>
      <c r="I24" s="4" t="s">
        <v>53</v>
      </c>
      <c r="J24" s="4" t="s">
        <v>54</v>
      </c>
      <c r="K24" s="4" t="s">
        <v>54</v>
      </c>
      <c r="L24" s="4" t="s">
        <v>52</v>
      </c>
      <c r="M24" s="4" t="s">
        <v>55</v>
      </c>
      <c r="N24" s="5">
        <v>46069</v>
      </c>
      <c r="O24" s="5">
        <v>46054</v>
      </c>
      <c r="P24" s="4" t="s">
        <v>129</v>
      </c>
      <c r="Q24" s="4" t="s">
        <v>81</v>
      </c>
      <c r="R24" s="4" t="s">
        <v>130</v>
      </c>
      <c r="S24" s="6" t="s">
        <v>78</v>
      </c>
      <c r="T24" s="7" t="s">
        <v>79</v>
      </c>
      <c r="U24" s="12" t="s">
        <v>61</v>
      </c>
      <c r="V24" s="12" t="s">
        <v>62</v>
      </c>
      <c r="W24" s="12" t="s">
        <v>52</v>
      </c>
      <c r="X24" s="12" t="s">
        <v>52</v>
      </c>
      <c r="Y24" s="12" t="s">
        <v>52</v>
      </c>
      <c r="Z24" s="12">
        <v>26671</v>
      </c>
      <c r="AA24" s="12">
        <v>200005426</v>
      </c>
      <c r="AB24" s="12">
        <v>140001941</v>
      </c>
      <c r="AC24" s="12" t="s">
        <v>52</v>
      </c>
      <c r="AD24" s="12" t="s">
        <v>52</v>
      </c>
      <c r="AE24" s="12" t="s">
        <v>64</v>
      </c>
      <c r="AF24" s="12" t="s">
        <v>65</v>
      </c>
      <c r="AG24" s="13" t="s">
        <v>66</v>
      </c>
      <c r="AH24" s="13" t="s">
        <v>66</v>
      </c>
      <c r="AI24" s="12" t="s">
        <v>52</v>
      </c>
      <c r="AJ24" s="12">
        <v>90376794</v>
      </c>
      <c r="AK24" s="12" t="s">
        <v>67</v>
      </c>
      <c r="AL24" s="12" t="s">
        <v>68</v>
      </c>
      <c r="AM24" s="12" t="s">
        <v>69</v>
      </c>
      <c r="AN24" s="12" t="s">
        <v>70</v>
      </c>
      <c r="AO24" s="12" t="s">
        <v>71</v>
      </c>
      <c r="AP24" s="12" t="s">
        <v>72</v>
      </c>
      <c r="AQ24" s="12" t="s">
        <v>61</v>
      </c>
      <c r="AR24" s="12" t="s">
        <v>62</v>
      </c>
      <c r="AS24" s="12" t="s">
        <v>73</v>
      </c>
      <c r="AT24" s="12" t="s">
        <v>73</v>
      </c>
      <c r="AU24" s="12" t="s">
        <v>61</v>
      </c>
      <c r="AV24" s="12" t="s">
        <v>74</v>
      </c>
    </row>
    <row r="25" spans="1:48" ht="15.6">
      <c r="A25" s="3">
        <v>24</v>
      </c>
      <c r="B25" s="4">
        <v>311490003398</v>
      </c>
      <c r="C25" s="4">
        <v>311202004706</v>
      </c>
      <c r="D25" s="4" t="s">
        <v>52</v>
      </c>
      <c r="E25" s="4" t="s">
        <v>49</v>
      </c>
      <c r="F25" s="4" t="s">
        <v>50</v>
      </c>
      <c r="G25" s="4" t="s">
        <v>51</v>
      </c>
      <c r="H25" s="4" t="s">
        <v>52</v>
      </c>
      <c r="I25" s="4" t="s">
        <v>53</v>
      </c>
      <c r="J25" s="4" t="s">
        <v>54</v>
      </c>
      <c r="K25" s="4" t="s">
        <v>54</v>
      </c>
      <c r="L25" s="4" t="s">
        <v>52</v>
      </c>
      <c r="M25" s="4" t="s">
        <v>55</v>
      </c>
      <c r="N25" s="5">
        <v>46069</v>
      </c>
      <c r="O25" s="5">
        <v>46054</v>
      </c>
      <c r="P25" s="4" t="s">
        <v>131</v>
      </c>
      <c r="Q25" s="4" t="s">
        <v>132</v>
      </c>
      <c r="R25" s="4" t="s">
        <v>133</v>
      </c>
      <c r="S25" s="6" t="s">
        <v>78</v>
      </c>
      <c r="T25" s="7" t="s">
        <v>79</v>
      </c>
      <c r="U25" s="12" t="s">
        <v>61</v>
      </c>
      <c r="V25" s="12" t="s">
        <v>62</v>
      </c>
      <c r="W25" s="12" t="s">
        <v>52</v>
      </c>
      <c r="X25" s="12" t="s">
        <v>52</v>
      </c>
      <c r="Y25" s="12" t="s">
        <v>52</v>
      </c>
      <c r="Z25" s="12">
        <v>26671</v>
      </c>
      <c r="AA25" s="12">
        <v>200005426</v>
      </c>
      <c r="AB25" s="12">
        <v>140001941</v>
      </c>
      <c r="AC25" s="12" t="s">
        <v>52</v>
      </c>
      <c r="AD25" s="12" t="s">
        <v>52</v>
      </c>
      <c r="AE25" s="12" t="s">
        <v>64</v>
      </c>
      <c r="AF25" s="12" t="s">
        <v>65</v>
      </c>
      <c r="AG25" s="13" t="s">
        <v>66</v>
      </c>
      <c r="AH25" s="13" t="s">
        <v>66</v>
      </c>
      <c r="AI25" s="12" t="s">
        <v>52</v>
      </c>
      <c r="AJ25" s="12">
        <v>90460029</v>
      </c>
      <c r="AK25" s="12" t="s">
        <v>67</v>
      </c>
      <c r="AL25" s="12" t="s">
        <v>68</v>
      </c>
      <c r="AM25" s="12" t="s">
        <v>69</v>
      </c>
      <c r="AN25" s="12" t="s">
        <v>70</v>
      </c>
      <c r="AO25" s="12" t="s">
        <v>71</v>
      </c>
      <c r="AP25" s="12" t="s">
        <v>72</v>
      </c>
      <c r="AQ25" s="12" t="s">
        <v>61</v>
      </c>
      <c r="AR25" s="12" t="s">
        <v>62</v>
      </c>
      <c r="AS25" s="12" t="s">
        <v>73</v>
      </c>
      <c r="AT25" s="12" t="s">
        <v>73</v>
      </c>
      <c r="AU25" s="12" t="s">
        <v>61</v>
      </c>
      <c r="AV25" s="12" t="s">
        <v>74</v>
      </c>
    </row>
    <row r="26" spans="1:48" ht="15.6">
      <c r="A26" s="3">
        <v>2</v>
      </c>
      <c r="B26" s="4">
        <v>311490003398</v>
      </c>
      <c r="C26" s="4">
        <v>311601002733</v>
      </c>
      <c r="D26" s="4" t="s">
        <v>48</v>
      </c>
      <c r="E26" s="4" t="s">
        <v>49</v>
      </c>
      <c r="F26" s="4" t="s">
        <v>50</v>
      </c>
      <c r="G26" s="4" t="s">
        <v>51</v>
      </c>
      <c r="H26" s="4" t="s">
        <v>52</v>
      </c>
      <c r="I26" s="4" t="s">
        <v>53</v>
      </c>
      <c r="J26" s="4" t="s">
        <v>106</v>
      </c>
      <c r="K26" s="4" t="s">
        <v>107</v>
      </c>
      <c r="L26" s="4" t="s">
        <v>52</v>
      </c>
      <c r="M26" s="4" t="s">
        <v>55</v>
      </c>
      <c r="N26" s="5">
        <v>46069</v>
      </c>
      <c r="O26" s="5">
        <v>46054</v>
      </c>
      <c r="P26" s="4" t="s">
        <v>134</v>
      </c>
      <c r="Q26" s="4"/>
      <c r="R26" s="4" t="s">
        <v>135</v>
      </c>
      <c r="S26" s="6" t="s">
        <v>59</v>
      </c>
      <c r="T26" s="7" t="s">
        <v>60</v>
      </c>
      <c r="U26" s="12" t="s">
        <v>61</v>
      </c>
      <c r="V26" s="12" t="s">
        <v>62</v>
      </c>
      <c r="W26" s="12" t="s">
        <v>52</v>
      </c>
      <c r="X26" s="12" t="s">
        <v>52</v>
      </c>
      <c r="Y26" s="12" t="s">
        <v>52</v>
      </c>
      <c r="Z26" s="12">
        <v>26671</v>
      </c>
      <c r="AA26" s="12">
        <v>200005426</v>
      </c>
      <c r="AB26" s="12">
        <v>140001941</v>
      </c>
      <c r="AC26" s="12" t="s">
        <v>52</v>
      </c>
      <c r="AD26" s="12" t="s">
        <v>52</v>
      </c>
      <c r="AE26" s="12" t="s">
        <v>64</v>
      </c>
      <c r="AF26" s="12" t="s">
        <v>65</v>
      </c>
      <c r="AG26" s="13" t="s">
        <v>66</v>
      </c>
      <c r="AH26" s="13" t="s">
        <v>66</v>
      </c>
      <c r="AI26" s="12" t="s">
        <v>52</v>
      </c>
      <c r="AJ26" s="12">
        <v>90400816</v>
      </c>
      <c r="AK26" s="12" t="s">
        <v>67</v>
      </c>
      <c r="AL26" s="12" t="s">
        <v>68</v>
      </c>
      <c r="AM26" s="12" t="s">
        <v>69</v>
      </c>
      <c r="AN26" s="12" t="s">
        <v>70</v>
      </c>
      <c r="AO26" s="12" t="s">
        <v>71</v>
      </c>
      <c r="AP26" s="12" t="s">
        <v>72</v>
      </c>
      <c r="AQ26" s="12" t="s">
        <v>61</v>
      </c>
      <c r="AR26" s="12" t="s">
        <v>62</v>
      </c>
      <c r="AS26" s="12" t="s">
        <v>73</v>
      </c>
      <c r="AT26" s="12" t="s">
        <v>73</v>
      </c>
      <c r="AU26" s="12" t="s">
        <v>61</v>
      </c>
      <c r="AV26" s="12" t="s">
        <v>74</v>
      </c>
    </row>
    <row r="27" spans="1:48" ht="15.6">
      <c r="A27" s="3">
        <v>3</v>
      </c>
      <c r="B27" s="4">
        <v>311490003398</v>
      </c>
      <c r="C27" s="4">
        <v>311601002734</v>
      </c>
      <c r="D27" s="4" t="s">
        <v>48</v>
      </c>
      <c r="E27" s="4" t="s">
        <v>49</v>
      </c>
      <c r="F27" s="4" t="s">
        <v>50</v>
      </c>
      <c r="G27" s="4" t="s">
        <v>51</v>
      </c>
      <c r="H27" s="4" t="s">
        <v>52</v>
      </c>
      <c r="I27" s="4" t="s">
        <v>53</v>
      </c>
      <c r="J27" s="4" t="s">
        <v>106</v>
      </c>
      <c r="K27" s="4" t="s">
        <v>107</v>
      </c>
      <c r="L27" s="4" t="s">
        <v>52</v>
      </c>
      <c r="M27" s="4" t="s">
        <v>55</v>
      </c>
      <c r="N27" s="5">
        <v>46069</v>
      </c>
      <c r="O27" s="5">
        <v>46054</v>
      </c>
      <c r="P27" s="4" t="s">
        <v>136</v>
      </c>
      <c r="Q27" s="4"/>
      <c r="R27" s="4" t="s">
        <v>52</v>
      </c>
      <c r="S27" s="6" t="s">
        <v>59</v>
      </c>
      <c r="T27" s="7" t="s">
        <v>60</v>
      </c>
      <c r="U27" s="12" t="s">
        <v>61</v>
      </c>
      <c r="V27" s="12" t="s">
        <v>62</v>
      </c>
      <c r="W27" s="12" t="s">
        <v>52</v>
      </c>
      <c r="X27" s="12" t="s">
        <v>52</v>
      </c>
      <c r="Y27" s="12" t="s">
        <v>52</v>
      </c>
      <c r="Z27" s="12">
        <v>26671</v>
      </c>
      <c r="AA27" s="12">
        <v>200005426</v>
      </c>
      <c r="AB27" s="12">
        <v>140001941</v>
      </c>
      <c r="AC27" s="12" t="s">
        <v>52</v>
      </c>
      <c r="AD27" s="12" t="s">
        <v>52</v>
      </c>
      <c r="AE27" s="12" t="s">
        <v>64</v>
      </c>
      <c r="AF27" s="12" t="s">
        <v>65</v>
      </c>
      <c r="AG27" s="13" t="s">
        <v>66</v>
      </c>
      <c r="AH27" s="13" t="s">
        <v>66</v>
      </c>
      <c r="AI27" s="12" t="s">
        <v>52</v>
      </c>
      <c r="AJ27" s="12">
        <v>90451982</v>
      </c>
      <c r="AK27" s="12" t="s">
        <v>67</v>
      </c>
      <c r="AL27" s="12" t="s">
        <v>68</v>
      </c>
      <c r="AM27" s="12" t="s">
        <v>69</v>
      </c>
      <c r="AN27" s="12" t="s">
        <v>70</v>
      </c>
      <c r="AO27" s="12" t="s">
        <v>71</v>
      </c>
      <c r="AP27" s="12" t="s">
        <v>72</v>
      </c>
      <c r="AQ27" s="12" t="s">
        <v>61</v>
      </c>
      <c r="AR27" s="12" t="s">
        <v>62</v>
      </c>
      <c r="AS27" s="12" t="s">
        <v>73</v>
      </c>
      <c r="AT27" s="12" t="s">
        <v>73</v>
      </c>
      <c r="AU27" s="12" t="s">
        <v>61</v>
      </c>
      <c r="AV27" s="12" t="s">
        <v>74</v>
      </c>
    </row>
    <row r="28" spans="1:48" ht="15.6">
      <c r="A28" s="3">
        <v>4</v>
      </c>
      <c r="B28" s="4">
        <v>311490003398</v>
      </c>
      <c r="C28" s="4">
        <v>311601002735</v>
      </c>
      <c r="D28" s="4" t="s">
        <v>48</v>
      </c>
      <c r="E28" s="4" t="s">
        <v>49</v>
      </c>
      <c r="F28" s="4" t="s">
        <v>50</v>
      </c>
      <c r="G28" s="4" t="s">
        <v>51</v>
      </c>
      <c r="H28" s="4" t="s">
        <v>52</v>
      </c>
      <c r="I28" s="4" t="s">
        <v>53</v>
      </c>
      <c r="J28" s="4" t="s">
        <v>106</v>
      </c>
      <c r="K28" s="4" t="s">
        <v>107</v>
      </c>
      <c r="L28" s="4" t="s">
        <v>52</v>
      </c>
      <c r="M28" s="4" t="s">
        <v>55</v>
      </c>
      <c r="N28" s="5">
        <v>46069</v>
      </c>
      <c r="O28" s="5">
        <v>46054</v>
      </c>
      <c r="P28" s="4" t="s">
        <v>137</v>
      </c>
      <c r="Q28" s="4"/>
      <c r="R28" s="4" t="s">
        <v>52</v>
      </c>
      <c r="S28" s="6" t="s">
        <v>59</v>
      </c>
      <c r="T28" s="7" t="s">
        <v>60</v>
      </c>
      <c r="U28" s="12" t="s">
        <v>61</v>
      </c>
      <c r="V28" s="12" t="s">
        <v>62</v>
      </c>
      <c r="W28" s="12" t="s">
        <v>52</v>
      </c>
      <c r="X28" s="12" t="s">
        <v>52</v>
      </c>
      <c r="Y28" s="12" t="s">
        <v>52</v>
      </c>
      <c r="Z28" s="12">
        <v>26671</v>
      </c>
      <c r="AA28" s="12">
        <v>200005426</v>
      </c>
      <c r="AB28" s="12">
        <v>140001941</v>
      </c>
      <c r="AC28" s="12" t="s">
        <v>52</v>
      </c>
      <c r="AD28" s="12" t="s">
        <v>52</v>
      </c>
      <c r="AE28" s="12" t="s">
        <v>64</v>
      </c>
      <c r="AF28" s="12" t="s">
        <v>65</v>
      </c>
      <c r="AG28" s="13" t="s">
        <v>66</v>
      </c>
      <c r="AH28" s="13" t="s">
        <v>66</v>
      </c>
      <c r="AI28" s="12" t="s">
        <v>52</v>
      </c>
      <c r="AJ28" s="12">
        <v>90443563</v>
      </c>
      <c r="AK28" s="12" t="s">
        <v>67</v>
      </c>
      <c r="AL28" s="12" t="s">
        <v>68</v>
      </c>
      <c r="AM28" s="12" t="s">
        <v>69</v>
      </c>
      <c r="AN28" s="12" t="s">
        <v>70</v>
      </c>
      <c r="AO28" s="12" t="s">
        <v>71</v>
      </c>
      <c r="AP28" s="12" t="s">
        <v>72</v>
      </c>
      <c r="AQ28" s="12" t="s">
        <v>61</v>
      </c>
      <c r="AR28" s="12" t="s">
        <v>62</v>
      </c>
      <c r="AS28" s="12" t="s">
        <v>73</v>
      </c>
      <c r="AT28" s="12" t="s">
        <v>73</v>
      </c>
      <c r="AU28" s="12" t="s">
        <v>61</v>
      </c>
      <c r="AV28" s="12" t="s">
        <v>74</v>
      </c>
    </row>
    <row r="29" spans="1:48" ht="15.6">
      <c r="A29" s="3">
        <v>28</v>
      </c>
      <c r="B29" s="4">
        <v>311490003398</v>
      </c>
      <c r="C29" s="4">
        <v>311601002736</v>
      </c>
      <c r="D29" s="4" t="s">
        <v>48</v>
      </c>
      <c r="E29" s="4" t="s">
        <v>49</v>
      </c>
      <c r="F29" s="4" t="s">
        <v>50</v>
      </c>
      <c r="G29" s="4" t="s">
        <v>51</v>
      </c>
      <c r="H29" s="4" t="s">
        <v>52</v>
      </c>
      <c r="I29" s="4" t="s">
        <v>53</v>
      </c>
      <c r="J29" s="4" t="s">
        <v>106</v>
      </c>
      <c r="K29" s="4" t="s">
        <v>107</v>
      </c>
      <c r="L29" s="4" t="s">
        <v>52</v>
      </c>
      <c r="M29" s="4" t="s">
        <v>55</v>
      </c>
      <c r="N29" s="5">
        <v>46069</v>
      </c>
      <c r="O29" s="5">
        <v>46054</v>
      </c>
      <c r="P29" s="4" t="s">
        <v>138</v>
      </c>
      <c r="Q29" s="4"/>
      <c r="R29" s="4" t="s">
        <v>52</v>
      </c>
      <c r="S29" s="6" t="s">
        <v>78</v>
      </c>
      <c r="T29" s="7" t="s">
        <v>139</v>
      </c>
      <c r="U29" s="12" t="s">
        <v>61</v>
      </c>
      <c r="V29" s="12" t="s">
        <v>62</v>
      </c>
      <c r="W29" s="12" t="s">
        <v>52</v>
      </c>
      <c r="X29" s="12" t="s">
        <v>52</v>
      </c>
      <c r="Y29" s="12" t="s">
        <v>52</v>
      </c>
      <c r="Z29" s="12">
        <v>26671</v>
      </c>
      <c r="AA29" s="12">
        <v>200005426</v>
      </c>
      <c r="AB29" s="12">
        <v>140001941</v>
      </c>
      <c r="AC29" s="12" t="s">
        <v>52</v>
      </c>
      <c r="AD29" s="12" t="s">
        <v>52</v>
      </c>
      <c r="AE29" s="12" t="s">
        <v>64</v>
      </c>
      <c r="AF29" s="12" t="s">
        <v>65</v>
      </c>
      <c r="AG29" s="13" t="s">
        <v>66</v>
      </c>
      <c r="AH29" s="13" t="s">
        <v>66</v>
      </c>
      <c r="AI29" s="12" t="s">
        <v>52</v>
      </c>
      <c r="AJ29" s="12">
        <v>90426363</v>
      </c>
      <c r="AK29" s="12" t="s">
        <v>67</v>
      </c>
      <c r="AL29" s="12" t="s">
        <v>68</v>
      </c>
      <c r="AM29" s="12" t="s">
        <v>69</v>
      </c>
      <c r="AN29" s="12" t="s">
        <v>70</v>
      </c>
      <c r="AO29" s="12" t="s">
        <v>71</v>
      </c>
      <c r="AP29" s="12" t="s">
        <v>72</v>
      </c>
      <c r="AQ29" s="12" t="s">
        <v>61</v>
      </c>
      <c r="AR29" s="12" t="s">
        <v>62</v>
      </c>
      <c r="AS29" s="12" t="s">
        <v>73</v>
      </c>
      <c r="AT29" s="12" t="s">
        <v>73</v>
      </c>
      <c r="AU29" s="12" t="s">
        <v>61</v>
      </c>
      <c r="AV29" s="12" t="s">
        <v>74</v>
      </c>
    </row>
    <row r="30" spans="1:48" ht="15.6">
      <c r="A30" s="3">
        <v>5</v>
      </c>
      <c r="B30" s="4">
        <v>311490003398</v>
      </c>
      <c r="C30" s="4">
        <v>311601002737</v>
      </c>
      <c r="D30" s="4" t="s">
        <v>48</v>
      </c>
      <c r="E30" s="4" t="s">
        <v>49</v>
      </c>
      <c r="F30" s="4" t="s">
        <v>50</v>
      </c>
      <c r="G30" s="4" t="s">
        <v>51</v>
      </c>
      <c r="H30" s="4" t="s">
        <v>52</v>
      </c>
      <c r="I30" s="4" t="s">
        <v>53</v>
      </c>
      <c r="J30" s="4" t="s">
        <v>106</v>
      </c>
      <c r="K30" s="4" t="s">
        <v>107</v>
      </c>
      <c r="L30" s="4" t="s">
        <v>52</v>
      </c>
      <c r="M30" s="4" t="s">
        <v>55</v>
      </c>
      <c r="N30" s="5">
        <v>46069</v>
      </c>
      <c r="O30" s="5">
        <v>46054</v>
      </c>
      <c r="P30" s="4" t="s">
        <v>140</v>
      </c>
      <c r="Q30" s="4"/>
      <c r="R30" s="4" t="s">
        <v>52</v>
      </c>
      <c r="S30" s="6" t="s">
        <v>59</v>
      </c>
      <c r="T30" s="7" t="s">
        <v>60</v>
      </c>
      <c r="U30" s="12" t="s">
        <v>61</v>
      </c>
      <c r="V30" s="12" t="s">
        <v>62</v>
      </c>
      <c r="W30" s="12" t="s">
        <v>52</v>
      </c>
      <c r="X30" s="12" t="s">
        <v>52</v>
      </c>
      <c r="Y30" s="12" t="s">
        <v>52</v>
      </c>
      <c r="Z30" s="12">
        <v>26671</v>
      </c>
      <c r="AA30" s="12">
        <v>200005426</v>
      </c>
      <c r="AB30" s="12">
        <v>140001941</v>
      </c>
      <c r="AC30" s="12" t="s">
        <v>52</v>
      </c>
      <c r="AD30" s="12" t="s">
        <v>52</v>
      </c>
      <c r="AE30" s="12" t="s">
        <v>64</v>
      </c>
      <c r="AF30" s="12" t="s">
        <v>65</v>
      </c>
      <c r="AG30" s="13" t="s">
        <v>66</v>
      </c>
      <c r="AH30" s="13" t="s">
        <v>66</v>
      </c>
      <c r="AI30" s="12" t="s">
        <v>52</v>
      </c>
      <c r="AJ30" s="12">
        <v>90460031</v>
      </c>
      <c r="AK30" s="12" t="s">
        <v>67</v>
      </c>
      <c r="AL30" s="12" t="s">
        <v>68</v>
      </c>
      <c r="AM30" s="12" t="s">
        <v>69</v>
      </c>
      <c r="AN30" s="12" t="s">
        <v>70</v>
      </c>
      <c r="AO30" s="12" t="s">
        <v>71</v>
      </c>
      <c r="AP30" s="12" t="s">
        <v>72</v>
      </c>
      <c r="AQ30" s="12" t="s">
        <v>61</v>
      </c>
      <c r="AR30" s="12" t="s">
        <v>62</v>
      </c>
      <c r="AS30" s="12" t="s">
        <v>73</v>
      </c>
      <c r="AT30" s="12" t="s">
        <v>73</v>
      </c>
      <c r="AU30" s="12" t="s">
        <v>61</v>
      </c>
      <c r="AV30" s="12" t="s">
        <v>74</v>
      </c>
    </row>
    <row r="31" spans="1:48" ht="15.6">
      <c r="A31" s="3">
        <v>6</v>
      </c>
      <c r="B31" s="4">
        <v>311490003398</v>
      </c>
      <c r="C31" s="4">
        <v>311601002738</v>
      </c>
      <c r="D31" s="4" t="s">
        <v>48</v>
      </c>
      <c r="E31" s="4" t="s">
        <v>49</v>
      </c>
      <c r="F31" s="4" t="s">
        <v>50</v>
      </c>
      <c r="G31" s="4" t="s">
        <v>51</v>
      </c>
      <c r="H31" s="4" t="s">
        <v>52</v>
      </c>
      <c r="I31" s="4" t="s">
        <v>53</v>
      </c>
      <c r="J31" s="4" t="s">
        <v>106</v>
      </c>
      <c r="K31" s="4" t="s">
        <v>107</v>
      </c>
      <c r="L31" s="4" t="s">
        <v>52</v>
      </c>
      <c r="M31" s="4" t="s">
        <v>55</v>
      </c>
      <c r="N31" s="5">
        <v>46069</v>
      </c>
      <c r="O31" s="5">
        <v>46054</v>
      </c>
      <c r="P31" s="4" t="s">
        <v>141</v>
      </c>
      <c r="Q31" s="4"/>
      <c r="R31" s="4" t="s">
        <v>52</v>
      </c>
      <c r="S31" s="6" t="s">
        <v>59</v>
      </c>
      <c r="T31" s="7" t="s">
        <v>60</v>
      </c>
      <c r="U31" s="12" t="s">
        <v>61</v>
      </c>
      <c r="V31" s="12" t="s">
        <v>62</v>
      </c>
      <c r="W31" s="12" t="s">
        <v>52</v>
      </c>
      <c r="X31" s="12" t="s">
        <v>52</v>
      </c>
      <c r="Y31" s="12" t="s">
        <v>52</v>
      </c>
      <c r="Z31" s="12">
        <v>26671</v>
      </c>
      <c r="AA31" s="12">
        <v>200005426</v>
      </c>
      <c r="AB31" s="12">
        <v>140001941</v>
      </c>
      <c r="AC31" s="12" t="s">
        <v>52</v>
      </c>
      <c r="AD31" s="12" t="s">
        <v>52</v>
      </c>
      <c r="AE31" s="12" t="s">
        <v>64</v>
      </c>
      <c r="AF31" s="12" t="s">
        <v>65</v>
      </c>
      <c r="AG31" s="13" t="s">
        <v>66</v>
      </c>
      <c r="AH31" s="13" t="s">
        <v>66</v>
      </c>
      <c r="AI31" s="12" t="s">
        <v>52</v>
      </c>
      <c r="AJ31" s="12">
        <v>90448252</v>
      </c>
      <c r="AK31" s="12" t="s">
        <v>67</v>
      </c>
      <c r="AL31" s="12" t="s">
        <v>68</v>
      </c>
      <c r="AM31" s="12" t="s">
        <v>69</v>
      </c>
      <c r="AN31" s="12" t="s">
        <v>70</v>
      </c>
      <c r="AO31" s="12" t="s">
        <v>71</v>
      </c>
      <c r="AP31" s="12" t="s">
        <v>72</v>
      </c>
      <c r="AQ31" s="12" t="s">
        <v>61</v>
      </c>
      <c r="AR31" s="12" t="s">
        <v>62</v>
      </c>
      <c r="AS31" s="12" t="s">
        <v>73</v>
      </c>
      <c r="AT31" s="12" t="s">
        <v>73</v>
      </c>
      <c r="AU31" s="12" t="s">
        <v>61</v>
      </c>
      <c r="AV31" s="12" t="s">
        <v>74</v>
      </c>
    </row>
    <row r="32" spans="1:48" ht="15.6">
      <c r="A32" s="3">
        <v>7</v>
      </c>
      <c r="B32" s="4">
        <v>311490003398</v>
      </c>
      <c r="C32" s="4">
        <v>311601002739</v>
      </c>
      <c r="D32" s="4" t="s">
        <v>48</v>
      </c>
      <c r="E32" s="4" t="s">
        <v>49</v>
      </c>
      <c r="F32" s="4" t="s">
        <v>50</v>
      </c>
      <c r="G32" s="4" t="s">
        <v>51</v>
      </c>
      <c r="H32" s="4" t="s">
        <v>52</v>
      </c>
      <c r="I32" s="4" t="s">
        <v>53</v>
      </c>
      <c r="J32" s="4" t="s">
        <v>106</v>
      </c>
      <c r="K32" s="4" t="s">
        <v>107</v>
      </c>
      <c r="L32" s="4" t="s">
        <v>52</v>
      </c>
      <c r="M32" s="4" t="s">
        <v>55</v>
      </c>
      <c r="N32" s="5">
        <v>46069</v>
      </c>
      <c r="O32" s="5">
        <v>46054</v>
      </c>
      <c r="P32" s="4" t="s">
        <v>142</v>
      </c>
      <c r="Q32" s="4"/>
      <c r="R32" s="4" t="s">
        <v>52</v>
      </c>
      <c r="S32" s="6" t="s">
        <v>59</v>
      </c>
      <c r="T32" s="7" t="s">
        <v>60</v>
      </c>
      <c r="U32" s="12" t="s">
        <v>61</v>
      </c>
      <c r="V32" s="12" t="s">
        <v>62</v>
      </c>
      <c r="W32" s="12" t="s">
        <v>52</v>
      </c>
      <c r="X32" s="12" t="s">
        <v>52</v>
      </c>
      <c r="Y32" s="12" t="s">
        <v>52</v>
      </c>
      <c r="Z32" s="12">
        <v>26671</v>
      </c>
      <c r="AA32" s="12">
        <v>200005426</v>
      </c>
      <c r="AB32" s="12">
        <v>140001941</v>
      </c>
      <c r="AC32" s="12" t="s">
        <v>52</v>
      </c>
      <c r="AD32" s="12" t="s">
        <v>52</v>
      </c>
      <c r="AE32" s="12" t="s">
        <v>64</v>
      </c>
      <c r="AF32" s="12" t="s">
        <v>65</v>
      </c>
      <c r="AG32" s="13" t="s">
        <v>66</v>
      </c>
      <c r="AH32" s="13" t="s">
        <v>66</v>
      </c>
      <c r="AI32" s="12" t="s">
        <v>52</v>
      </c>
      <c r="AJ32" s="12">
        <v>90448254</v>
      </c>
      <c r="AK32" s="12" t="s">
        <v>67</v>
      </c>
      <c r="AL32" s="12" t="s">
        <v>68</v>
      </c>
      <c r="AM32" s="12" t="s">
        <v>69</v>
      </c>
      <c r="AN32" s="12" t="s">
        <v>70</v>
      </c>
      <c r="AO32" s="12" t="s">
        <v>71</v>
      </c>
      <c r="AP32" s="12" t="s">
        <v>72</v>
      </c>
      <c r="AQ32" s="12" t="s">
        <v>61</v>
      </c>
      <c r="AR32" s="12" t="s">
        <v>62</v>
      </c>
      <c r="AS32" s="12" t="s">
        <v>73</v>
      </c>
      <c r="AT32" s="12" t="s">
        <v>73</v>
      </c>
      <c r="AU32" s="12" t="s">
        <v>61</v>
      </c>
      <c r="AV32" s="12" t="s">
        <v>74</v>
      </c>
    </row>
    <row r="33" spans="1:48" ht="15.6">
      <c r="A33" s="3">
        <v>8</v>
      </c>
      <c r="B33" s="4">
        <v>311490003398</v>
      </c>
      <c r="C33" s="4">
        <v>311601002740</v>
      </c>
      <c r="D33" s="4" t="s">
        <v>48</v>
      </c>
      <c r="E33" s="4" t="s">
        <v>49</v>
      </c>
      <c r="F33" s="4" t="s">
        <v>50</v>
      </c>
      <c r="G33" s="4" t="s">
        <v>51</v>
      </c>
      <c r="H33" s="4" t="s">
        <v>52</v>
      </c>
      <c r="I33" s="4" t="s">
        <v>53</v>
      </c>
      <c r="J33" s="4" t="s">
        <v>106</v>
      </c>
      <c r="K33" s="4" t="s">
        <v>107</v>
      </c>
      <c r="L33" s="4" t="s">
        <v>52</v>
      </c>
      <c r="M33" s="4" t="s">
        <v>55</v>
      </c>
      <c r="N33" s="5">
        <v>46069</v>
      </c>
      <c r="O33" s="5">
        <v>46054</v>
      </c>
      <c r="P33" s="4" t="s">
        <v>143</v>
      </c>
      <c r="Q33" s="4"/>
      <c r="R33" s="4" t="s">
        <v>52</v>
      </c>
      <c r="S33" s="6" t="s">
        <v>59</v>
      </c>
      <c r="T33" s="7" t="s">
        <v>60</v>
      </c>
      <c r="U33" s="12" t="s">
        <v>61</v>
      </c>
      <c r="V33" s="12" t="s">
        <v>62</v>
      </c>
      <c r="W33" s="12" t="s">
        <v>52</v>
      </c>
      <c r="X33" s="12" t="s">
        <v>52</v>
      </c>
      <c r="Y33" s="12" t="s">
        <v>52</v>
      </c>
      <c r="Z33" s="12">
        <v>26671</v>
      </c>
      <c r="AA33" s="12">
        <v>200005426</v>
      </c>
      <c r="AB33" s="12">
        <v>140001941</v>
      </c>
      <c r="AC33" s="12" t="s">
        <v>52</v>
      </c>
      <c r="AD33" s="12" t="s">
        <v>52</v>
      </c>
      <c r="AE33" s="12" t="s">
        <v>64</v>
      </c>
      <c r="AF33" s="12" t="s">
        <v>65</v>
      </c>
      <c r="AG33" s="13" t="s">
        <v>66</v>
      </c>
      <c r="AH33" s="13" t="s">
        <v>66</v>
      </c>
      <c r="AI33" s="12" t="s">
        <v>52</v>
      </c>
      <c r="AJ33" s="12">
        <v>90439902</v>
      </c>
      <c r="AK33" s="12" t="s">
        <v>67</v>
      </c>
      <c r="AL33" s="12" t="s">
        <v>68</v>
      </c>
      <c r="AM33" s="12" t="s">
        <v>69</v>
      </c>
      <c r="AN33" s="12" t="s">
        <v>70</v>
      </c>
      <c r="AO33" s="12" t="s">
        <v>71</v>
      </c>
      <c r="AP33" s="12" t="s">
        <v>72</v>
      </c>
      <c r="AQ33" s="12" t="s">
        <v>61</v>
      </c>
      <c r="AR33" s="12" t="s">
        <v>62</v>
      </c>
      <c r="AS33" s="12" t="s">
        <v>73</v>
      </c>
      <c r="AT33" s="12" t="s">
        <v>73</v>
      </c>
      <c r="AU33" s="12" t="s">
        <v>61</v>
      </c>
      <c r="AV33" s="12" t="s">
        <v>74</v>
      </c>
    </row>
    <row r="34" spans="1:48" ht="15.6">
      <c r="A34" s="3">
        <v>9</v>
      </c>
      <c r="B34" s="4">
        <v>311490003398</v>
      </c>
      <c r="C34" s="4">
        <v>311601002743</v>
      </c>
      <c r="D34" s="4" t="s">
        <v>48</v>
      </c>
      <c r="E34" s="4" t="s">
        <v>49</v>
      </c>
      <c r="F34" s="4" t="s">
        <v>50</v>
      </c>
      <c r="G34" s="4" t="s">
        <v>51</v>
      </c>
      <c r="H34" s="4" t="s">
        <v>52</v>
      </c>
      <c r="I34" s="4" t="s">
        <v>53</v>
      </c>
      <c r="J34" s="4" t="s">
        <v>106</v>
      </c>
      <c r="K34" s="4" t="s">
        <v>107</v>
      </c>
      <c r="L34" s="4" t="s">
        <v>52</v>
      </c>
      <c r="M34" s="4" t="s">
        <v>55</v>
      </c>
      <c r="N34" s="5">
        <v>46069</v>
      </c>
      <c r="O34" s="5">
        <v>46054</v>
      </c>
      <c r="P34" s="4" t="s">
        <v>144</v>
      </c>
      <c r="Q34" s="4"/>
      <c r="R34" s="4" t="s">
        <v>52</v>
      </c>
      <c r="S34" s="6" t="s">
        <v>59</v>
      </c>
      <c r="T34" s="11" t="s">
        <v>145</v>
      </c>
      <c r="U34" s="12" t="s">
        <v>61</v>
      </c>
      <c r="V34" s="12" t="s">
        <v>62</v>
      </c>
      <c r="W34" s="12" t="s">
        <v>52</v>
      </c>
      <c r="X34" s="12" t="s">
        <v>52</v>
      </c>
      <c r="Y34" s="12" t="s">
        <v>52</v>
      </c>
      <c r="Z34" s="12">
        <v>26671</v>
      </c>
      <c r="AA34" s="12">
        <v>200005426</v>
      </c>
      <c r="AB34" s="12">
        <v>140001941</v>
      </c>
      <c r="AC34" s="12" t="s">
        <v>52</v>
      </c>
      <c r="AD34" s="12" t="s">
        <v>52</v>
      </c>
      <c r="AE34" s="12" t="s">
        <v>64</v>
      </c>
      <c r="AF34" s="12" t="s">
        <v>65</v>
      </c>
      <c r="AG34" s="13" t="s">
        <v>66</v>
      </c>
      <c r="AH34" s="13" t="s">
        <v>66</v>
      </c>
      <c r="AI34" s="12" t="s">
        <v>52</v>
      </c>
      <c r="AJ34" s="12">
        <v>90392026</v>
      </c>
      <c r="AK34" s="12" t="s">
        <v>67</v>
      </c>
      <c r="AL34" s="12" t="s">
        <v>68</v>
      </c>
      <c r="AM34" s="12" t="s">
        <v>69</v>
      </c>
      <c r="AN34" s="12" t="s">
        <v>70</v>
      </c>
      <c r="AO34" s="12" t="s">
        <v>71</v>
      </c>
      <c r="AP34" s="12" t="s">
        <v>72</v>
      </c>
      <c r="AQ34" s="12" t="s">
        <v>61</v>
      </c>
      <c r="AR34" s="12" t="s">
        <v>62</v>
      </c>
      <c r="AS34" s="12" t="s">
        <v>73</v>
      </c>
      <c r="AT34" s="12" t="s">
        <v>73</v>
      </c>
      <c r="AU34" s="12" t="s">
        <v>61</v>
      </c>
      <c r="AV34" s="12" t="s">
        <v>74</v>
      </c>
    </row>
    <row r="35" spans="1:48" ht="15.6">
      <c r="A35" s="3">
        <v>34</v>
      </c>
      <c r="B35" s="4">
        <v>311490003398</v>
      </c>
      <c r="C35" s="4">
        <v>311601002744</v>
      </c>
      <c r="D35" s="4" t="s">
        <v>48</v>
      </c>
      <c r="E35" s="4" t="s">
        <v>49</v>
      </c>
      <c r="F35" s="4" t="s">
        <v>50</v>
      </c>
      <c r="G35" s="4" t="s">
        <v>51</v>
      </c>
      <c r="H35" s="4" t="s">
        <v>52</v>
      </c>
      <c r="I35" s="4" t="s">
        <v>53</v>
      </c>
      <c r="J35" s="4" t="s">
        <v>106</v>
      </c>
      <c r="K35" s="4" t="s">
        <v>107</v>
      </c>
      <c r="L35" s="4" t="s">
        <v>52</v>
      </c>
      <c r="M35" s="4" t="s">
        <v>55</v>
      </c>
      <c r="N35" s="5">
        <v>46069</v>
      </c>
      <c r="O35" s="5">
        <v>46054</v>
      </c>
      <c r="P35" s="4" t="s">
        <v>146</v>
      </c>
      <c r="Q35" s="4"/>
      <c r="R35" s="4" t="s">
        <v>52</v>
      </c>
      <c r="S35" s="6" t="s">
        <v>59</v>
      </c>
      <c r="T35" s="7" t="s">
        <v>147</v>
      </c>
      <c r="U35" s="12" t="s">
        <v>61</v>
      </c>
      <c r="V35" s="12" t="s">
        <v>62</v>
      </c>
      <c r="W35" s="12" t="s">
        <v>52</v>
      </c>
      <c r="X35" s="12" t="s">
        <v>52</v>
      </c>
      <c r="Y35" s="12" t="s">
        <v>52</v>
      </c>
      <c r="Z35" s="12">
        <v>26671</v>
      </c>
      <c r="AA35" s="12">
        <v>200005426</v>
      </c>
      <c r="AB35" s="12">
        <v>140001941</v>
      </c>
      <c r="AC35" s="12" t="s">
        <v>52</v>
      </c>
      <c r="AD35" s="12" t="s">
        <v>52</v>
      </c>
      <c r="AE35" s="12" t="s">
        <v>64</v>
      </c>
      <c r="AF35" s="12" t="s">
        <v>65</v>
      </c>
      <c r="AG35" s="13" t="s">
        <v>66</v>
      </c>
      <c r="AH35" s="13" t="s">
        <v>66</v>
      </c>
      <c r="AI35" s="12" t="s">
        <v>52</v>
      </c>
      <c r="AJ35" s="12">
        <v>90443565</v>
      </c>
      <c r="AK35" s="12" t="s">
        <v>67</v>
      </c>
      <c r="AL35" s="12" t="s">
        <v>68</v>
      </c>
      <c r="AM35" s="12" t="s">
        <v>69</v>
      </c>
      <c r="AN35" s="12" t="s">
        <v>70</v>
      </c>
      <c r="AO35" s="12" t="s">
        <v>71</v>
      </c>
      <c r="AP35" s="12" t="s">
        <v>72</v>
      </c>
      <c r="AQ35" s="12" t="s">
        <v>61</v>
      </c>
      <c r="AR35" s="12" t="s">
        <v>62</v>
      </c>
      <c r="AS35" s="12" t="s">
        <v>73</v>
      </c>
      <c r="AT35" s="12" t="s">
        <v>73</v>
      </c>
      <c r="AU35" s="12" t="s">
        <v>61</v>
      </c>
      <c r="AV35" s="12" t="s">
        <v>74</v>
      </c>
    </row>
    <row r="36" spans="1:48" ht="15.6">
      <c r="A36" s="3">
        <v>35</v>
      </c>
      <c r="B36" s="4">
        <v>311490003398</v>
      </c>
      <c r="C36" s="4">
        <v>311601002779</v>
      </c>
      <c r="D36" s="4" t="s">
        <v>52</v>
      </c>
      <c r="E36" s="4" t="s">
        <v>49</v>
      </c>
      <c r="F36" s="4" t="s">
        <v>50</v>
      </c>
      <c r="G36" s="4" t="s">
        <v>51</v>
      </c>
      <c r="H36" s="4" t="s">
        <v>52</v>
      </c>
      <c r="I36" s="4" t="s">
        <v>53</v>
      </c>
      <c r="J36" s="4" t="s">
        <v>106</v>
      </c>
      <c r="K36" s="4" t="s">
        <v>107</v>
      </c>
      <c r="L36" s="4" t="s">
        <v>52</v>
      </c>
      <c r="M36" s="4" t="s">
        <v>55</v>
      </c>
      <c r="N36" s="5">
        <v>46069</v>
      </c>
      <c r="O36" s="5">
        <v>46054</v>
      </c>
      <c r="P36" s="4" t="s">
        <v>148</v>
      </c>
      <c r="Q36" s="4"/>
      <c r="R36" s="4" t="s">
        <v>52</v>
      </c>
      <c r="S36" s="6" t="s">
        <v>59</v>
      </c>
      <c r="T36" s="11" t="s">
        <v>149</v>
      </c>
      <c r="U36" s="12" t="s">
        <v>61</v>
      </c>
      <c r="V36" s="12" t="s">
        <v>62</v>
      </c>
      <c r="W36" s="12" t="s">
        <v>52</v>
      </c>
      <c r="X36" s="12" t="s">
        <v>52</v>
      </c>
      <c r="Y36" s="12" t="s">
        <v>52</v>
      </c>
      <c r="Z36" s="12">
        <v>26671</v>
      </c>
      <c r="AA36" s="12">
        <v>200005426</v>
      </c>
      <c r="AB36" s="12">
        <v>140001941</v>
      </c>
      <c r="AC36" s="12" t="s">
        <v>52</v>
      </c>
      <c r="AD36" s="12" t="s">
        <v>52</v>
      </c>
      <c r="AE36" s="12" t="s">
        <v>64</v>
      </c>
      <c r="AF36" s="12" t="s">
        <v>65</v>
      </c>
      <c r="AG36" s="13" t="s">
        <v>66</v>
      </c>
      <c r="AH36" s="13" t="s">
        <v>66</v>
      </c>
      <c r="AI36" s="12" t="s">
        <v>52</v>
      </c>
      <c r="AJ36" s="12">
        <v>90400818</v>
      </c>
      <c r="AK36" s="12" t="s">
        <v>67</v>
      </c>
      <c r="AL36" s="12" t="s">
        <v>68</v>
      </c>
      <c r="AM36" s="12" t="s">
        <v>69</v>
      </c>
      <c r="AN36" s="12" t="s">
        <v>70</v>
      </c>
      <c r="AO36" s="12" t="s">
        <v>71</v>
      </c>
      <c r="AP36" s="12" t="s">
        <v>72</v>
      </c>
      <c r="AQ36" s="12" t="s">
        <v>61</v>
      </c>
      <c r="AR36" s="12" t="s">
        <v>62</v>
      </c>
      <c r="AS36" s="12" t="s">
        <v>73</v>
      </c>
      <c r="AT36" s="12" t="s">
        <v>73</v>
      </c>
      <c r="AU36" s="12" t="s">
        <v>61</v>
      </c>
      <c r="AV36" s="12" t="s">
        <v>74</v>
      </c>
    </row>
    <row r="37" spans="1:48" ht="15.6">
      <c r="A37" s="3">
        <v>36</v>
      </c>
      <c r="B37" s="4">
        <v>311490003398</v>
      </c>
      <c r="C37" s="4">
        <v>311601002745</v>
      </c>
      <c r="D37" s="4" t="s">
        <v>48</v>
      </c>
      <c r="E37" s="4" t="s">
        <v>49</v>
      </c>
      <c r="F37" s="4" t="s">
        <v>50</v>
      </c>
      <c r="G37" s="4" t="s">
        <v>51</v>
      </c>
      <c r="H37" s="4" t="s">
        <v>52</v>
      </c>
      <c r="I37" s="4" t="s">
        <v>53</v>
      </c>
      <c r="J37" s="4" t="s">
        <v>106</v>
      </c>
      <c r="K37" s="4" t="s">
        <v>107</v>
      </c>
      <c r="L37" s="4" t="s">
        <v>52</v>
      </c>
      <c r="M37" s="4" t="s">
        <v>55</v>
      </c>
      <c r="N37" s="5">
        <v>46069</v>
      </c>
      <c r="O37" s="5">
        <v>46054</v>
      </c>
      <c r="P37" s="4" t="s">
        <v>150</v>
      </c>
      <c r="Q37" s="4"/>
      <c r="R37" s="4" t="s">
        <v>52</v>
      </c>
      <c r="S37" s="6" t="s">
        <v>59</v>
      </c>
      <c r="T37" s="11" t="s">
        <v>151</v>
      </c>
      <c r="U37" s="12" t="s">
        <v>61</v>
      </c>
      <c r="V37" s="12" t="s">
        <v>62</v>
      </c>
      <c r="W37" s="12" t="s">
        <v>52</v>
      </c>
      <c r="X37" s="12" t="s">
        <v>52</v>
      </c>
      <c r="Y37" s="12" t="s">
        <v>52</v>
      </c>
      <c r="Z37" s="12">
        <v>26671</v>
      </c>
      <c r="AA37" s="12">
        <v>200005426</v>
      </c>
      <c r="AB37" s="12">
        <v>140001941</v>
      </c>
      <c r="AC37" s="12" t="s">
        <v>52</v>
      </c>
      <c r="AD37" s="12" t="s">
        <v>52</v>
      </c>
      <c r="AE37" s="12" t="s">
        <v>64</v>
      </c>
      <c r="AF37" s="12" t="s">
        <v>65</v>
      </c>
      <c r="AG37" s="13" t="s">
        <v>66</v>
      </c>
      <c r="AH37" s="13" t="s">
        <v>66</v>
      </c>
      <c r="AI37" s="12" t="s">
        <v>52</v>
      </c>
      <c r="AJ37" s="12">
        <v>90460032</v>
      </c>
      <c r="AK37" s="12" t="s">
        <v>67</v>
      </c>
      <c r="AL37" s="12" t="s">
        <v>68</v>
      </c>
      <c r="AM37" s="12" t="s">
        <v>69</v>
      </c>
      <c r="AN37" s="12" t="s">
        <v>70</v>
      </c>
      <c r="AO37" s="12" t="s">
        <v>71</v>
      </c>
      <c r="AP37" s="12" t="s">
        <v>72</v>
      </c>
      <c r="AQ37" s="12" t="s">
        <v>61</v>
      </c>
      <c r="AR37" s="12" t="s">
        <v>62</v>
      </c>
      <c r="AS37" s="12" t="s">
        <v>73</v>
      </c>
      <c r="AT37" s="12" t="s">
        <v>73</v>
      </c>
      <c r="AU37" s="12" t="s">
        <v>61</v>
      </c>
      <c r="AV37" s="12" t="s">
        <v>74</v>
      </c>
    </row>
    <row r="38" spans="1:48" ht="15.6">
      <c r="A38" s="3">
        <v>10</v>
      </c>
      <c r="B38" s="4">
        <v>311490003398</v>
      </c>
      <c r="C38" s="4">
        <v>311601002746</v>
      </c>
      <c r="D38" s="4" t="s">
        <v>48</v>
      </c>
      <c r="E38" s="4" t="s">
        <v>49</v>
      </c>
      <c r="F38" s="4" t="s">
        <v>50</v>
      </c>
      <c r="G38" s="4" t="s">
        <v>51</v>
      </c>
      <c r="H38" s="4" t="s">
        <v>52</v>
      </c>
      <c r="I38" s="4" t="s">
        <v>53</v>
      </c>
      <c r="J38" s="4" t="s">
        <v>106</v>
      </c>
      <c r="K38" s="4" t="s">
        <v>107</v>
      </c>
      <c r="L38" s="4" t="s">
        <v>52</v>
      </c>
      <c r="M38" s="4" t="s">
        <v>55</v>
      </c>
      <c r="N38" s="5">
        <v>46069</v>
      </c>
      <c r="O38" s="5">
        <v>46054</v>
      </c>
      <c r="P38" s="4" t="s">
        <v>152</v>
      </c>
      <c r="Q38" s="4"/>
      <c r="R38" s="4" t="s">
        <v>52</v>
      </c>
      <c r="S38" s="6" t="s">
        <v>59</v>
      </c>
      <c r="T38" s="7" t="s">
        <v>60</v>
      </c>
      <c r="U38" s="12" t="s">
        <v>61</v>
      </c>
      <c r="V38" s="12" t="s">
        <v>62</v>
      </c>
      <c r="W38" s="12" t="s">
        <v>52</v>
      </c>
      <c r="X38" s="12" t="s">
        <v>52</v>
      </c>
      <c r="Y38" s="12" t="s">
        <v>52</v>
      </c>
      <c r="Z38" s="12">
        <v>26671</v>
      </c>
      <c r="AA38" s="12">
        <v>200005426</v>
      </c>
      <c r="AB38" s="12">
        <v>140001941</v>
      </c>
      <c r="AC38" s="12" t="s">
        <v>52</v>
      </c>
      <c r="AD38" s="12" t="s">
        <v>52</v>
      </c>
      <c r="AE38" s="12" t="s">
        <v>64</v>
      </c>
      <c r="AF38" s="12" t="s">
        <v>65</v>
      </c>
      <c r="AG38" s="13" t="s">
        <v>66</v>
      </c>
      <c r="AH38" s="13" t="s">
        <v>66</v>
      </c>
      <c r="AI38" s="12" t="s">
        <v>52</v>
      </c>
      <c r="AJ38" s="12">
        <v>90443567</v>
      </c>
      <c r="AK38" s="12" t="s">
        <v>67</v>
      </c>
      <c r="AL38" s="12" t="s">
        <v>68</v>
      </c>
      <c r="AM38" s="12" t="s">
        <v>69</v>
      </c>
      <c r="AN38" s="12" t="s">
        <v>70</v>
      </c>
      <c r="AO38" s="12" t="s">
        <v>71</v>
      </c>
      <c r="AP38" s="12" t="s">
        <v>72</v>
      </c>
      <c r="AQ38" s="12" t="s">
        <v>61</v>
      </c>
      <c r="AR38" s="12" t="s">
        <v>62</v>
      </c>
      <c r="AS38" s="12" t="s">
        <v>73</v>
      </c>
      <c r="AT38" s="12" t="s">
        <v>73</v>
      </c>
      <c r="AU38" s="12" t="s">
        <v>61</v>
      </c>
      <c r="AV38" s="12" t="s">
        <v>74</v>
      </c>
    </row>
    <row r="39" spans="1:48" ht="15.6">
      <c r="A39" s="3">
        <v>38</v>
      </c>
      <c r="B39" s="4">
        <v>311490003398</v>
      </c>
      <c r="C39" s="4">
        <v>311601002747</v>
      </c>
      <c r="D39" s="4" t="s">
        <v>48</v>
      </c>
      <c r="E39" s="4" t="s">
        <v>49</v>
      </c>
      <c r="F39" s="4" t="s">
        <v>50</v>
      </c>
      <c r="G39" s="4" t="s">
        <v>51</v>
      </c>
      <c r="H39" s="4" t="s">
        <v>52</v>
      </c>
      <c r="I39" s="4" t="s">
        <v>53</v>
      </c>
      <c r="J39" s="4" t="s">
        <v>106</v>
      </c>
      <c r="K39" s="4" t="s">
        <v>107</v>
      </c>
      <c r="L39" s="4" t="s">
        <v>52</v>
      </c>
      <c r="M39" s="4" t="s">
        <v>55</v>
      </c>
      <c r="N39" s="5">
        <v>46069</v>
      </c>
      <c r="O39" s="5">
        <v>46054</v>
      </c>
      <c r="P39" s="4" t="s">
        <v>153</v>
      </c>
      <c r="Q39" s="4"/>
      <c r="R39" s="4" t="s">
        <v>52</v>
      </c>
      <c r="S39" s="6" t="s">
        <v>78</v>
      </c>
      <c r="T39" s="7" t="s">
        <v>79</v>
      </c>
      <c r="U39" s="12" t="s">
        <v>61</v>
      </c>
      <c r="V39" s="12" t="s">
        <v>62</v>
      </c>
      <c r="W39" s="12" t="s">
        <v>52</v>
      </c>
      <c r="X39" s="12" t="s">
        <v>52</v>
      </c>
      <c r="Y39" s="12" t="s">
        <v>52</v>
      </c>
      <c r="Z39" s="12">
        <v>26671</v>
      </c>
      <c r="AA39" s="12">
        <v>200005426</v>
      </c>
      <c r="AB39" s="12">
        <v>140001941</v>
      </c>
      <c r="AC39" s="12" t="s">
        <v>52</v>
      </c>
      <c r="AD39" s="12" t="s">
        <v>52</v>
      </c>
      <c r="AE39" s="12" t="s">
        <v>64</v>
      </c>
      <c r="AF39" s="12" t="s">
        <v>65</v>
      </c>
      <c r="AG39" s="13" t="s">
        <v>66</v>
      </c>
      <c r="AH39" s="13" t="s">
        <v>66</v>
      </c>
      <c r="AI39" s="12" t="s">
        <v>52</v>
      </c>
      <c r="AJ39" s="12">
        <v>90437359</v>
      </c>
      <c r="AK39" s="12" t="s">
        <v>67</v>
      </c>
      <c r="AL39" s="12" t="s">
        <v>68</v>
      </c>
      <c r="AM39" s="12" t="s">
        <v>69</v>
      </c>
      <c r="AN39" s="12" t="s">
        <v>70</v>
      </c>
      <c r="AO39" s="12" t="s">
        <v>71</v>
      </c>
      <c r="AP39" s="12" t="s">
        <v>72</v>
      </c>
      <c r="AQ39" s="12" t="s">
        <v>61</v>
      </c>
      <c r="AR39" s="12" t="s">
        <v>62</v>
      </c>
      <c r="AS39" s="12" t="s">
        <v>73</v>
      </c>
      <c r="AT39" s="12" t="s">
        <v>73</v>
      </c>
      <c r="AU39" s="12" t="s">
        <v>61</v>
      </c>
      <c r="AV39" s="12" t="s">
        <v>74</v>
      </c>
    </row>
    <row r="40" spans="1:48" ht="15.6">
      <c r="A40" s="3">
        <v>39</v>
      </c>
      <c r="B40" s="4">
        <v>311490003398</v>
      </c>
      <c r="C40" s="4">
        <v>311601002748</v>
      </c>
      <c r="D40" s="4" t="s">
        <v>48</v>
      </c>
      <c r="E40" s="4" t="s">
        <v>49</v>
      </c>
      <c r="F40" s="4" t="s">
        <v>50</v>
      </c>
      <c r="G40" s="4" t="s">
        <v>51</v>
      </c>
      <c r="H40" s="4" t="s">
        <v>52</v>
      </c>
      <c r="I40" s="4" t="s">
        <v>53</v>
      </c>
      <c r="J40" s="4" t="s">
        <v>106</v>
      </c>
      <c r="K40" s="4" t="s">
        <v>107</v>
      </c>
      <c r="L40" s="4" t="s">
        <v>52</v>
      </c>
      <c r="M40" s="4" t="s">
        <v>55</v>
      </c>
      <c r="N40" s="5">
        <v>46069</v>
      </c>
      <c r="O40" s="5">
        <v>46054</v>
      </c>
      <c r="P40" s="4" t="s">
        <v>154</v>
      </c>
      <c r="Q40" s="4"/>
      <c r="R40" s="4" t="s">
        <v>52</v>
      </c>
      <c r="S40" s="6" t="s">
        <v>78</v>
      </c>
      <c r="T40" s="7" t="s">
        <v>79</v>
      </c>
      <c r="U40" s="12" t="s">
        <v>61</v>
      </c>
      <c r="V40" s="12" t="s">
        <v>62</v>
      </c>
      <c r="W40" s="12" t="s">
        <v>52</v>
      </c>
      <c r="X40" s="12" t="s">
        <v>52</v>
      </c>
      <c r="Y40" s="12" t="s">
        <v>52</v>
      </c>
      <c r="Z40" s="12">
        <v>26671</v>
      </c>
      <c r="AA40" s="12">
        <v>200005426</v>
      </c>
      <c r="AB40" s="12">
        <v>140001941</v>
      </c>
      <c r="AC40" s="12" t="s">
        <v>52</v>
      </c>
      <c r="AD40" s="12" t="s">
        <v>52</v>
      </c>
      <c r="AE40" s="12" t="s">
        <v>64</v>
      </c>
      <c r="AF40" s="12" t="s">
        <v>65</v>
      </c>
      <c r="AG40" s="13" t="s">
        <v>66</v>
      </c>
      <c r="AH40" s="13" t="s">
        <v>66</v>
      </c>
      <c r="AI40" s="12" t="s">
        <v>52</v>
      </c>
      <c r="AJ40" s="12">
        <v>90460034</v>
      </c>
      <c r="AK40" s="12" t="s">
        <v>67</v>
      </c>
      <c r="AL40" s="12" t="s">
        <v>68</v>
      </c>
      <c r="AM40" s="12" t="s">
        <v>69</v>
      </c>
      <c r="AN40" s="12" t="s">
        <v>70</v>
      </c>
      <c r="AO40" s="12" t="s">
        <v>71</v>
      </c>
      <c r="AP40" s="12" t="s">
        <v>72</v>
      </c>
      <c r="AQ40" s="12" t="s">
        <v>61</v>
      </c>
      <c r="AR40" s="12" t="s">
        <v>62</v>
      </c>
      <c r="AS40" s="12" t="s">
        <v>73</v>
      </c>
      <c r="AT40" s="12" t="s">
        <v>73</v>
      </c>
      <c r="AU40" s="12" t="s">
        <v>61</v>
      </c>
      <c r="AV40" s="12" t="s">
        <v>74</v>
      </c>
    </row>
    <row r="41" spans="1:48" ht="15.6">
      <c r="A41" s="3">
        <v>40</v>
      </c>
      <c r="B41" s="4">
        <v>311490003398</v>
      </c>
      <c r="C41" s="4">
        <v>311601002729</v>
      </c>
      <c r="D41" s="4" t="s">
        <v>48</v>
      </c>
      <c r="E41" s="4" t="s">
        <v>49</v>
      </c>
      <c r="F41" s="4" t="s">
        <v>50</v>
      </c>
      <c r="G41" s="4" t="s">
        <v>51</v>
      </c>
      <c r="H41" s="4" t="s">
        <v>52</v>
      </c>
      <c r="I41" s="4" t="s">
        <v>53</v>
      </c>
      <c r="J41" s="4" t="s">
        <v>106</v>
      </c>
      <c r="K41" s="4" t="s">
        <v>107</v>
      </c>
      <c r="L41" s="4" t="s">
        <v>52</v>
      </c>
      <c r="M41" s="4" t="s">
        <v>55</v>
      </c>
      <c r="N41" s="5">
        <v>46069</v>
      </c>
      <c r="O41" s="5">
        <v>46054</v>
      </c>
      <c r="P41" s="4" t="s">
        <v>155</v>
      </c>
      <c r="Q41" s="4"/>
      <c r="R41" s="4" t="s">
        <v>52</v>
      </c>
      <c r="S41" s="6" t="s">
        <v>78</v>
      </c>
      <c r="T41" s="7" t="s">
        <v>79</v>
      </c>
      <c r="U41" s="12" t="s">
        <v>61</v>
      </c>
      <c r="V41" s="12" t="s">
        <v>62</v>
      </c>
      <c r="W41" s="12" t="s">
        <v>52</v>
      </c>
      <c r="X41" s="12" t="s">
        <v>52</v>
      </c>
      <c r="Y41" s="12" t="s">
        <v>52</v>
      </c>
      <c r="Z41" s="12">
        <v>26671</v>
      </c>
      <c r="AA41" s="12">
        <v>200005426</v>
      </c>
      <c r="AB41" s="12">
        <v>140001941</v>
      </c>
      <c r="AC41" s="12" t="s">
        <v>52</v>
      </c>
      <c r="AD41" s="12" t="s">
        <v>52</v>
      </c>
      <c r="AE41" s="12" t="s">
        <v>64</v>
      </c>
      <c r="AF41" s="12" t="s">
        <v>65</v>
      </c>
      <c r="AG41" s="13" t="s">
        <v>66</v>
      </c>
      <c r="AH41" s="13" t="s">
        <v>66</v>
      </c>
      <c r="AI41" s="12" t="s">
        <v>52</v>
      </c>
      <c r="AJ41" s="12">
        <v>90363752</v>
      </c>
      <c r="AK41" s="12" t="s">
        <v>67</v>
      </c>
      <c r="AL41" s="12" t="s">
        <v>68</v>
      </c>
      <c r="AM41" s="12" t="s">
        <v>69</v>
      </c>
      <c r="AN41" s="12" t="s">
        <v>70</v>
      </c>
      <c r="AO41" s="12" t="s">
        <v>71</v>
      </c>
      <c r="AP41" s="12" t="s">
        <v>72</v>
      </c>
      <c r="AQ41" s="12" t="s">
        <v>61</v>
      </c>
      <c r="AR41" s="12" t="s">
        <v>62</v>
      </c>
      <c r="AS41" s="12" t="s">
        <v>73</v>
      </c>
      <c r="AT41" s="12" t="s">
        <v>73</v>
      </c>
      <c r="AU41" s="12" t="s">
        <v>61</v>
      </c>
      <c r="AV41" s="12" t="s">
        <v>74</v>
      </c>
    </row>
    <row r="42" spans="1:48" ht="15.6">
      <c r="A42" s="3">
        <v>41</v>
      </c>
      <c r="B42" s="4">
        <v>311490003398</v>
      </c>
      <c r="C42" s="4">
        <v>311601002730</v>
      </c>
      <c r="D42" s="4" t="s">
        <v>48</v>
      </c>
      <c r="E42" s="4" t="s">
        <v>49</v>
      </c>
      <c r="F42" s="4" t="s">
        <v>50</v>
      </c>
      <c r="G42" s="4" t="s">
        <v>51</v>
      </c>
      <c r="H42" s="4" t="s">
        <v>52</v>
      </c>
      <c r="I42" s="4" t="s">
        <v>53</v>
      </c>
      <c r="J42" s="4" t="s">
        <v>106</v>
      </c>
      <c r="K42" s="4" t="s">
        <v>107</v>
      </c>
      <c r="L42" s="4" t="s">
        <v>52</v>
      </c>
      <c r="M42" s="4" t="s">
        <v>55</v>
      </c>
      <c r="N42" s="5">
        <v>46069</v>
      </c>
      <c r="O42" s="5">
        <v>46054</v>
      </c>
      <c r="P42" s="4" t="s">
        <v>156</v>
      </c>
      <c r="Q42" s="4"/>
      <c r="R42" s="4" t="s">
        <v>52</v>
      </c>
      <c r="S42" s="6" t="s">
        <v>78</v>
      </c>
      <c r="T42" s="7" t="s">
        <v>79</v>
      </c>
      <c r="U42" s="12" t="s">
        <v>61</v>
      </c>
      <c r="V42" s="12" t="s">
        <v>62</v>
      </c>
      <c r="W42" s="12" t="s">
        <v>52</v>
      </c>
      <c r="X42" s="12" t="s">
        <v>52</v>
      </c>
      <c r="Y42" s="12" t="s">
        <v>52</v>
      </c>
      <c r="Z42" s="12">
        <v>26671</v>
      </c>
      <c r="AA42" s="12">
        <v>200005426</v>
      </c>
      <c r="AB42" s="12">
        <v>140001941</v>
      </c>
      <c r="AC42" s="12" t="s">
        <v>52</v>
      </c>
      <c r="AD42" s="12" t="s">
        <v>52</v>
      </c>
      <c r="AE42" s="12" t="s">
        <v>64</v>
      </c>
      <c r="AF42" s="12" t="s">
        <v>65</v>
      </c>
      <c r="AG42" s="13" t="s">
        <v>66</v>
      </c>
      <c r="AH42" s="13" t="s">
        <v>66</v>
      </c>
      <c r="AI42" s="12" t="s">
        <v>52</v>
      </c>
      <c r="AJ42" s="12">
        <v>90379561</v>
      </c>
      <c r="AK42" s="12" t="s">
        <v>67</v>
      </c>
      <c r="AL42" s="12" t="s">
        <v>68</v>
      </c>
      <c r="AM42" s="12" t="s">
        <v>69</v>
      </c>
      <c r="AN42" s="12" t="s">
        <v>70</v>
      </c>
      <c r="AO42" s="12" t="s">
        <v>71</v>
      </c>
      <c r="AP42" s="12" t="s">
        <v>72</v>
      </c>
      <c r="AQ42" s="12" t="s">
        <v>61</v>
      </c>
      <c r="AR42" s="12" t="s">
        <v>62</v>
      </c>
      <c r="AS42" s="12" t="s">
        <v>73</v>
      </c>
      <c r="AT42" s="12" t="s">
        <v>73</v>
      </c>
      <c r="AU42" s="12" t="s">
        <v>61</v>
      </c>
      <c r="AV42" s="12" t="s">
        <v>74</v>
      </c>
    </row>
    <row r="43" spans="1:48" ht="15.6">
      <c r="A43" s="3">
        <v>42</v>
      </c>
      <c r="B43" s="4">
        <v>311490003398</v>
      </c>
      <c r="C43" s="4">
        <v>311601002731</v>
      </c>
      <c r="D43" s="4" t="s">
        <v>48</v>
      </c>
      <c r="E43" s="4" t="s">
        <v>49</v>
      </c>
      <c r="F43" s="4" t="s">
        <v>50</v>
      </c>
      <c r="G43" s="4" t="s">
        <v>51</v>
      </c>
      <c r="H43" s="4" t="s">
        <v>52</v>
      </c>
      <c r="I43" s="4" t="s">
        <v>53</v>
      </c>
      <c r="J43" s="4" t="s">
        <v>106</v>
      </c>
      <c r="K43" s="4" t="s">
        <v>107</v>
      </c>
      <c r="L43" s="4" t="s">
        <v>52</v>
      </c>
      <c r="M43" s="4" t="s">
        <v>55</v>
      </c>
      <c r="N43" s="5">
        <v>46069</v>
      </c>
      <c r="O43" s="5">
        <v>46054</v>
      </c>
      <c r="P43" s="4" t="s">
        <v>157</v>
      </c>
      <c r="Q43" s="4"/>
      <c r="R43" s="4" t="s">
        <v>52</v>
      </c>
      <c r="S43" s="6" t="s">
        <v>78</v>
      </c>
      <c r="T43" s="7" t="s">
        <v>79</v>
      </c>
      <c r="U43" s="12" t="s">
        <v>61</v>
      </c>
      <c r="V43" s="12" t="s">
        <v>62</v>
      </c>
      <c r="W43" s="12" t="s">
        <v>52</v>
      </c>
      <c r="X43" s="12" t="s">
        <v>52</v>
      </c>
      <c r="Y43" s="12" t="s">
        <v>52</v>
      </c>
      <c r="Z43" s="12">
        <v>26671</v>
      </c>
      <c r="AA43" s="12">
        <v>200005426</v>
      </c>
      <c r="AB43" s="12">
        <v>140001941</v>
      </c>
      <c r="AC43" s="12" t="s">
        <v>52</v>
      </c>
      <c r="AD43" s="12" t="s">
        <v>52</v>
      </c>
      <c r="AE43" s="12" t="s">
        <v>64</v>
      </c>
      <c r="AF43" s="12" t="s">
        <v>65</v>
      </c>
      <c r="AG43" s="13" t="s">
        <v>66</v>
      </c>
      <c r="AH43" s="13" t="s">
        <v>66</v>
      </c>
      <c r="AI43" s="12" t="s">
        <v>52</v>
      </c>
      <c r="AJ43" s="12">
        <v>90448256</v>
      </c>
      <c r="AK43" s="12" t="s">
        <v>67</v>
      </c>
      <c r="AL43" s="12" t="s">
        <v>68</v>
      </c>
      <c r="AM43" s="12" t="s">
        <v>69</v>
      </c>
      <c r="AN43" s="12" t="s">
        <v>70</v>
      </c>
      <c r="AO43" s="12" t="s">
        <v>71</v>
      </c>
      <c r="AP43" s="12" t="s">
        <v>72</v>
      </c>
      <c r="AQ43" s="12" t="s">
        <v>61</v>
      </c>
      <c r="AR43" s="12" t="s">
        <v>62</v>
      </c>
      <c r="AS43" s="12" t="s">
        <v>73</v>
      </c>
      <c r="AT43" s="12" t="s">
        <v>73</v>
      </c>
      <c r="AU43" s="12" t="s">
        <v>61</v>
      </c>
      <c r="AV43" s="12" t="s">
        <v>74</v>
      </c>
    </row>
    <row r="44" spans="1:48" ht="15.6">
      <c r="A44" s="3">
        <v>43</v>
      </c>
      <c r="B44" s="4">
        <v>311490003398</v>
      </c>
      <c r="C44" s="4">
        <v>311601002780</v>
      </c>
      <c r="D44" s="4" t="s">
        <v>48</v>
      </c>
      <c r="E44" s="4" t="s">
        <v>49</v>
      </c>
      <c r="F44" s="4" t="s">
        <v>50</v>
      </c>
      <c r="G44" s="4" t="s">
        <v>51</v>
      </c>
      <c r="H44" s="4" t="s">
        <v>52</v>
      </c>
      <c r="I44" s="4" t="s">
        <v>53</v>
      </c>
      <c r="J44" s="4" t="s">
        <v>106</v>
      </c>
      <c r="K44" s="4" t="s">
        <v>107</v>
      </c>
      <c r="L44" s="4" t="s">
        <v>52</v>
      </c>
      <c r="M44" s="4" t="s">
        <v>55</v>
      </c>
      <c r="N44" s="5">
        <v>46069</v>
      </c>
      <c r="O44" s="5">
        <v>46054</v>
      </c>
      <c r="P44" s="4" t="s">
        <v>158</v>
      </c>
      <c r="Q44" s="4"/>
      <c r="R44" s="4" t="s">
        <v>52</v>
      </c>
      <c r="S44" s="6" t="s">
        <v>78</v>
      </c>
      <c r="T44" s="7" t="s">
        <v>79</v>
      </c>
      <c r="U44" s="12" t="s">
        <v>61</v>
      </c>
      <c r="V44" s="12" t="s">
        <v>62</v>
      </c>
      <c r="W44" s="12" t="s">
        <v>52</v>
      </c>
      <c r="X44" s="12" t="s">
        <v>52</v>
      </c>
      <c r="Y44" s="12" t="s">
        <v>52</v>
      </c>
      <c r="Z44" s="12">
        <v>26671</v>
      </c>
      <c r="AA44" s="12">
        <v>200005426</v>
      </c>
      <c r="AB44" s="12">
        <v>140001941</v>
      </c>
      <c r="AC44" s="12" t="s">
        <v>52</v>
      </c>
      <c r="AD44" s="12" t="s">
        <v>52</v>
      </c>
      <c r="AE44" s="12" t="s">
        <v>64</v>
      </c>
      <c r="AF44" s="12" t="s">
        <v>65</v>
      </c>
      <c r="AG44" s="13" t="s">
        <v>66</v>
      </c>
      <c r="AH44" s="13" t="s">
        <v>66</v>
      </c>
      <c r="AI44" s="12" t="s">
        <v>52</v>
      </c>
      <c r="AJ44" s="12">
        <v>90391404</v>
      </c>
      <c r="AK44" s="12" t="s">
        <v>67</v>
      </c>
      <c r="AL44" s="12" t="s">
        <v>68</v>
      </c>
      <c r="AM44" s="12" t="s">
        <v>69</v>
      </c>
      <c r="AN44" s="12" t="s">
        <v>70</v>
      </c>
      <c r="AO44" s="12" t="s">
        <v>71</v>
      </c>
      <c r="AP44" s="12" t="s">
        <v>72</v>
      </c>
      <c r="AQ44" s="12" t="s">
        <v>61</v>
      </c>
      <c r="AR44" s="12" t="s">
        <v>62</v>
      </c>
      <c r="AS44" s="12" t="s">
        <v>73</v>
      </c>
      <c r="AT44" s="12" t="s">
        <v>73</v>
      </c>
      <c r="AU44" s="12" t="s">
        <v>61</v>
      </c>
      <c r="AV44" s="12" t="s">
        <v>74</v>
      </c>
    </row>
    <row r="45" spans="1:48" ht="15.6">
      <c r="A45" s="3">
        <v>44</v>
      </c>
      <c r="B45" s="4">
        <v>311490003398</v>
      </c>
      <c r="C45" s="4">
        <v>311601002749</v>
      </c>
      <c r="D45" s="4" t="s">
        <v>48</v>
      </c>
      <c r="E45" s="4" t="s">
        <v>49</v>
      </c>
      <c r="F45" s="4" t="s">
        <v>50</v>
      </c>
      <c r="G45" s="4" t="s">
        <v>51</v>
      </c>
      <c r="H45" s="4" t="s">
        <v>52</v>
      </c>
      <c r="I45" s="4" t="s">
        <v>53</v>
      </c>
      <c r="J45" s="4" t="s">
        <v>106</v>
      </c>
      <c r="K45" s="4" t="s">
        <v>107</v>
      </c>
      <c r="L45" s="4" t="s">
        <v>52</v>
      </c>
      <c r="M45" s="4" t="s">
        <v>55</v>
      </c>
      <c r="N45" s="5">
        <v>46069</v>
      </c>
      <c r="O45" s="5">
        <v>46054</v>
      </c>
      <c r="P45" s="4" t="s">
        <v>159</v>
      </c>
      <c r="Q45" s="4"/>
      <c r="R45" s="4" t="s">
        <v>52</v>
      </c>
      <c r="S45" s="6" t="s">
        <v>59</v>
      </c>
      <c r="T45" s="7" t="s">
        <v>103</v>
      </c>
      <c r="U45" s="12" t="s">
        <v>61</v>
      </c>
      <c r="V45" s="12" t="s">
        <v>62</v>
      </c>
      <c r="W45" s="12" t="s">
        <v>52</v>
      </c>
      <c r="X45" s="12" t="s">
        <v>52</v>
      </c>
      <c r="Y45" s="12" t="s">
        <v>52</v>
      </c>
      <c r="Z45" s="12">
        <v>26671</v>
      </c>
      <c r="AA45" s="12">
        <v>200005426</v>
      </c>
      <c r="AB45" s="12">
        <v>140001941</v>
      </c>
      <c r="AC45" s="12" t="s">
        <v>52</v>
      </c>
      <c r="AD45" s="12" t="s">
        <v>52</v>
      </c>
      <c r="AE45" s="12" t="s">
        <v>64</v>
      </c>
      <c r="AF45" s="12" t="s">
        <v>65</v>
      </c>
      <c r="AG45" s="13" t="s">
        <v>66</v>
      </c>
      <c r="AH45" s="13" t="s">
        <v>66</v>
      </c>
      <c r="AI45" s="12" t="s">
        <v>52</v>
      </c>
      <c r="AJ45" s="12">
        <v>90460036</v>
      </c>
      <c r="AK45" s="12" t="s">
        <v>67</v>
      </c>
      <c r="AL45" s="12" t="s">
        <v>68</v>
      </c>
      <c r="AM45" s="12" t="s">
        <v>69</v>
      </c>
      <c r="AN45" s="12" t="s">
        <v>70</v>
      </c>
      <c r="AO45" s="12" t="s">
        <v>71</v>
      </c>
      <c r="AP45" s="12" t="s">
        <v>72</v>
      </c>
      <c r="AQ45" s="12" t="s">
        <v>61</v>
      </c>
      <c r="AR45" s="12" t="s">
        <v>62</v>
      </c>
      <c r="AS45" s="12" t="s">
        <v>73</v>
      </c>
      <c r="AT45" s="12" t="s">
        <v>73</v>
      </c>
      <c r="AU45" s="12" t="s">
        <v>61</v>
      </c>
      <c r="AV45" s="12" t="s">
        <v>74</v>
      </c>
    </row>
    <row r="46" spans="1:48" ht="15.6">
      <c r="A46" s="3">
        <v>45</v>
      </c>
      <c r="B46" s="4">
        <v>311490003398</v>
      </c>
      <c r="C46" s="4">
        <v>311601002750</v>
      </c>
      <c r="D46" s="4" t="s">
        <v>48</v>
      </c>
      <c r="E46" s="4" t="s">
        <v>49</v>
      </c>
      <c r="F46" s="4" t="s">
        <v>50</v>
      </c>
      <c r="G46" s="4" t="s">
        <v>51</v>
      </c>
      <c r="H46" s="4" t="s">
        <v>52</v>
      </c>
      <c r="I46" s="4" t="s">
        <v>53</v>
      </c>
      <c r="J46" s="4" t="s">
        <v>106</v>
      </c>
      <c r="K46" s="4" t="s">
        <v>107</v>
      </c>
      <c r="L46" s="4" t="s">
        <v>52</v>
      </c>
      <c r="M46" s="4" t="s">
        <v>55</v>
      </c>
      <c r="N46" s="5">
        <v>46069</v>
      </c>
      <c r="O46" s="5">
        <v>46054</v>
      </c>
      <c r="P46" s="4" t="s">
        <v>160</v>
      </c>
      <c r="Q46" s="4"/>
      <c r="R46" s="4" t="s">
        <v>52</v>
      </c>
      <c r="S46" s="6" t="s">
        <v>78</v>
      </c>
      <c r="T46" s="7" t="s">
        <v>79</v>
      </c>
      <c r="U46" s="12" t="s">
        <v>61</v>
      </c>
      <c r="V46" s="12" t="s">
        <v>62</v>
      </c>
      <c r="W46" s="12" t="s">
        <v>52</v>
      </c>
      <c r="X46" s="12" t="s">
        <v>52</v>
      </c>
      <c r="Y46" s="12" t="s">
        <v>52</v>
      </c>
      <c r="Z46" s="12">
        <v>26671</v>
      </c>
      <c r="AA46" s="12">
        <v>200005426</v>
      </c>
      <c r="AB46" s="12">
        <v>140001941</v>
      </c>
      <c r="AC46" s="12" t="s">
        <v>52</v>
      </c>
      <c r="AD46" s="12" t="s">
        <v>52</v>
      </c>
      <c r="AE46" s="12" t="s">
        <v>64</v>
      </c>
      <c r="AF46" s="12" t="s">
        <v>65</v>
      </c>
      <c r="AG46" s="13" t="s">
        <v>66</v>
      </c>
      <c r="AH46" s="13" t="s">
        <v>66</v>
      </c>
      <c r="AI46" s="12" t="s">
        <v>52</v>
      </c>
      <c r="AJ46" s="12">
        <v>90460038</v>
      </c>
      <c r="AK46" s="12" t="s">
        <v>67</v>
      </c>
      <c r="AL46" s="12" t="s">
        <v>68</v>
      </c>
      <c r="AM46" s="12" t="s">
        <v>69</v>
      </c>
      <c r="AN46" s="12" t="s">
        <v>70</v>
      </c>
      <c r="AO46" s="12" t="s">
        <v>71</v>
      </c>
      <c r="AP46" s="12" t="s">
        <v>72</v>
      </c>
      <c r="AQ46" s="12" t="s">
        <v>61</v>
      </c>
      <c r="AR46" s="12" t="s">
        <v>62</v>
      </c>
      <c r="AS46" s="12" t="s">
        <v>73</v>
      </c>
      <c r="AT46" s="12" t="s">
        <v>73</v>
      </c>
      <c r="AU46" s="12" t="s">
        <v>61</v>
      </c>
      <c r="AV46" s="12" t="s">
        <v>74</v>
      </c>
    </row>
    <row r="47" spans="1:48" ht="15.6">
      <c r="A47" s="3">
        <v>46</v>
      </c>
      <c r="B47" s="4">
        <v>311490003398</v>
      </c>
      <c r="C47" s="4">
        <v>311601002751</v>
      </c>
      <c r="D47" s="4" t="s">
        <v>48</v>
      </c>
      <c r="E47" s="4" t="s">
        <v>49</v>
      </c>
      <c r="F47" s="4" t="s">
        <v>50</v>
      </c>
      <c r="G47" s="4" t="s">
        <v>51</v>
      </c>
      <c r="H47" s="4" t="s">
        <v>52</v>
      </c>
      <c r="I47" s="4" t="s">
        <v>53</v>
      </c>
      <c r="J47" s="4" t="s">
        <v>106</v>
      </c>
      <c r="K47" s="4" t="s">
        <v>107</v>
      </c>
      <c r="L47" s="4" t="s">
        <v>52</v>
      </c>
      <c r="M47" s="4" t="s">
        <v>55</v>
      </c>
      <c r="N47" s="5">
        <v>46069</v>
      </c>
      <c r="O47" s="5">
        <v>46054</v>
      </c>
      <c r="P47" s="4" t="s">
        <v>161</v>
      </c>
      <c r="Q47" s="4"/>
      <c r="R47" s="4" t="s">
        <v>52</v>
      </c>
      <c r="S47" s="6" t="s">
        <v>78</v>
      </c>
      <c r="T47" s="7" t="s">
        <v>79</v>
      </c>
      <c r="U47" s="12" t="s">
        <v>61</v>
      </c>
      <c r="V47" s="12" t="s">
        <v>62</v>
      </c>
      <c r="W47" s="12" t="s">
        <v>52</v>
      </c>
      <c r="X47" s="12" t="s">
        <v>52</v>
      </c>
      <c r="Y47" s="12" t="s">
        <v>52</v>
      </c>
      <c r="Z47" s="12">
        <v>26671</v>
      </c>
      <c r="AA47" s="12">
        <v>200005426</v>
      </c>
      <c r="AB47" s="12">
        <v>140001941</v>
      </c>
      <c r="AC47" s="12" t="s">
        <v>52</v>
      </c>
      <c r="AD47" s="12" t="s">
        <v>52</v>
      </c>
      <c r="AE47" s="12" t="s">
        <v>64</v>
      </c>
      <c r="AF47" s="12" t="s">
        <v>65</v>
      </c>
      <c r="AG47" s="13" t="s">
        <v>66</v>
      </c>
      <c r="AH47" s="13" t="s">
        <v>66</v>
      </c>
      <c r="AI47" s="12" t="s">
        <v>52</v>
      </c>
      <c r="AJ47" s="12">
        <v>90443569</v>
      </c>
      <c r="AK47" s="12" t="s">
        <v>67</v>
      </c>
      <c r="AL47" s="12" t="s">
        <v>68</v>
      </c>
      <c r="AM47" s="12" t="s">
        <v>69</v>
      </c>
      <c r="AN47" s="12" t="s">
        <v>70</v>
      </c>
      <c r="AO47" s="12" t="s">
        <v>71</v>
      </c>
      <c r="AP47" s="12" t="s">
        <v>72</v>
      </c>
      <c r="AQ47" s="12" t="s">
        <v>61</v>
      </c>
      <c r="AR47" s="12" t="s">
        <v>62</v>
      </c>
      <c r="AS47" s="12" t="s">
        <v>73</v>
      </c>
      <c r="AT47" s="12" t="s">
        <v>73</v>
      </c>
      <c r="AU47" s="12" t="s">
        <v>61</v>
      </c>
      <c r="AV47" s="12" t="s">
        <v>74</v>
      </c>
    </row>
    <row r="48" spans="1:48" ht="15.6">
      <c r="A48" s="3">
        <v>47</v>
      </c>
      <c r="B48" s="4">
        <v>311490003398</v>
      </c>
      <c r="C48" s="4">
        <v>311601002752</v>
      </c>
      <c r="D48" s="4" t="s">
        <v>48</v>
      </c>
      <c r="E48" s="4" t="s">
        <v>49</v>
      </c>
      <c r="F48" s="4" t="s">
        <v>50</v>
      </c>
      <c r="G48" s="4" t="s">
        <v>51</v>
      </c>
      <c r="H48" s="4" t="s">
        <v>52</v>
      </c>
      <c r="I48" s="4" t="s">
        <v>53</v>
      </c>
      <c r="J48" s="4" t="s">
        <v>106</v>
      </c>
      <c r="K48" s="4" t="s">
        <v>107</v>
      </c>
      <c r="L48" s="4" t="s">
        <v>52</v>
      </c>
      <c r="M48" s="4" t="s">
        <v>55</v>
      </c>
      <c r="N48" s="5">
        <v>46069</v>
      </c>
      <c r="O48" s="5">
        <v>46054</v>
      </c>
      <c r="P48" s="4" t="s">
        <v>162</v>
      </c>
      <c r="Q48" s="4"/>
      <c r="R48" s="4" t="s">
        <v>52</v>
      </c>
      <c r="S48" s="6" t="s">
        <v>59</v>
      </c>
      <c r="T48" s="7" t="s">
        <v>103</v>
      </c>
      <c r="U48" s="12" t="s">
        <v>61</v>
      </c>
      <c r="V48" s="12" t="s">
        <v>62</v>
      </c>
      <c r="W48" s="12" t="s">
        <v>52</v>
      </c>
      <c r="X48" s="12" t="s">
        <v>52</v>
      </c>
      <c r="Y48" s="12" t="s">
        <v>52</v>
      </c>
      <c r="Z48" s="12">
        <v>26671</v>
      </c>
      <c r="AA48" s="12">
        <v>200005426</v>
      </c>
      <c r="AB48" s="12">
        <v>140001941</v>
      </c>
      <c r="AC48" s="12" t="s">
        <v>52</v>
      </c>
      <c r="AD48" s="12" t="s">
        <v>52</v>
      </c>
      <c r="AE48" s="12" t="s">
        <v>64</v>
      </c>
      <c r="AF48" s="12" t="s">
        <v>65</v>
      </c>
      <c r="AG48" s="13" t="s">
        <v>66</v>
      </c>
      <c r="AH48" s="13" t="s">
        <v>66</v>
      </c>
      <c r="AI48" s="12" t="s">
        <v>52</v>
      </c>
      <c r="AJ48" s="12">
        <v>90443571</v>
      </c>
      <c r="AK48" s="12" t="s">
        <v>67</v>
      </c>
      <c r="AL48" s="12" t="s">
        <v>68</v>
      </c>
      <c r="AM48" s="12" t="s">
        <v>69</v>
      </c>
      <c r="AN48" s="12" t="s">
        <v>70</v>
      </c>
      <c r="AO48" s="12" t="s">
        <v>71</v>
      </c>
      <c r="AP48" s="12" t="s">
        <v>72</v>
      </c>
      <c r="AQ48" s="12" t="s">
        <v>61</v>
      </c>
      <c r="AR48" s="12" t="s">
        <v>62</v>
      </c>
      <c r="AS48" s="12" t="s">
        <v>73</v>
      </c>
      <c r="AT48" s="12" t="s">
        <v>73</v>
      </c>
      <c r="AU48" s="12" t="s">
        <v>61</v>
      </c>
      <c r="AV48" s="12" t="s">
        <v>74</v>
      </c>
    </row>
    <row r="49" spans="1:48" ht="15.6">
      <c r="A49" s="3">
        <v>48</v>
      </c>
      <c r="B49" s="4">
        <v>311490003398</v>
      </c>
      <c r="C49" s="4">
        <v>311601002753</v>
      </c>
      <c r="D49" s="4" t="s">
        <v>48</v>
      </c>
      <c r="E49" s="4" t="s">
        <v>49</v>
      </c>
      <c r="F49" s="4" t="s">
        <v>50</v>
      </c>
      <c r="G49" s="4" t="s">
        <v>51</v>
      </c>
      <c r="H49" s="4" t="s">
        <v>52</v>
      </c>
      <c r="I49" s="4" t="s">
        <v>53</v>
      </c>
      <c r="J49" s="4" t="s">
        <v>106</v>
      </c>
      <c r="K49" s="4" t="s">
        <v>107</v>
      </c>
      <c r="L49" s="4" t="s">
        <v>52</v>
      </c>
      <c r="M49" s="4" t="s">
        <v>55</v>
      </c>
      <c r="N49" s="5">
        <v>46069</v>
      </c>
      <c r="O49" s="5">
        <v>46054</v>
      </c>
      <c r="P49" s="4" t="s">
        <v>163</v>
      </c>
      <c r="Q49" s="4"/>
      <c r="R49" s="4" t="s">
        <v>52</v>
      </c>
      <c r="S49" s="6" t="s">
        <v>59</v>
      </c>
      <c r="T49" s="7" t="s">
        <v>98</v>
      </c>
      <c r="U49" s="12" t="s">
        <v>61</v>
      </c>
      <c r="V49" s="12" t="s">
        <v>62</v>
      </c>
      <c r="W49" s="12" t="s">
        <v>52</v>
      </c>
      <c r="X49" s="12" t="s">
        <v>52</v>
      </c>
      <c r="Y49" s="12" t="s">
        <v>52</v>
      </c>
      <c r="Z49" s="12">
        <v>26671</v>
      </c>
      <c r="AA49" s="12">
        <v>200005426</v>
      </c>
      <c r="AB49" s="12">
        <v>140001941</v>
      </c>
      <c r="AC49" s="12" t="s">
        <v>52</v>
      </c>
      <c r="AD49" s="12" t="s">
        <v>52</v>
      </c>
      <c r="AE49" s="12" t="s">
        <v>64</v>
      </c>
      <c r="AF49" s="12" t="s">
        <v>65</v>
      </c>
      <c r="AG49" s="13" t="s">
        <v>66</v>
      </c>
      <c r="AH49" s="13" t="s">
        <v>66</v>
      </c>
      <c r="AI49" s="12" t="s">
        <v>52</v>
      </c>
      <c r="AJ49" s="12">
        <v>90364264</v>
      </c>
      <c r="AK49" s="12" t="s">
        <v>67</v>
      </c>
      <c r="AL49" s="12" t="s">
        <v>68</v>
      </c>
      <c r="AM49" s="12" t="s">
        <v>69</v>
      </c>
      <c r="AN49" s="12" t="s">
        <v>70</v>
      </c>
      <c r="AO49" s="12" t="s">
        <v>71</v>
      </c>
      <c r="AP49" s="12" t="s">
        <v>72</v>
      </c>
      <c r="AQ49" s="12" t="s">
        <v>61</v>
      </c>
      <c r="AR49" s="12" t="s">
        <v>62</v>
      </c>
      <c r="AS49" s="12" t="s">
        <v>73</v>
      </c>
      <c r="AT49" s="12" t="s">
        <v>73</v>
      </c>
      <c r="AU49" s="12" t="s">
        <v>61</v>
      </c>
      <c r="AV49" s="12" t="s">
        <v>74</v>
      </c>
    </row>
    <row r="50" spans="1:48" ht="15.6">
      <c r="A50" s="3">
        <v>49</v>
      </c>
      <c r="B50" s="4">
        <v>311490003398</v>
      </c>
      <c r="C50" s="4">
        <v>311601002754</v>
      </c>
      <c r="D50" s="4" t="s">
        <v>48</v>
      </c>
      <c r="E50" s="4" t="s">
        <v>49</v>
      </c>
      <c r="F50" s="4" t="s">
        <v>50</v>
      </c>
      <c r="G50" s="4" t="s">
        <v>51</v>
      </c>
      <c r="H50" s="4" t="s">
        <v>52</v>
      </c>
      <c r="I50" s="4" t="s">
        <v>53</v>
      </c>
      <c r="J50" s="4" t="s">
        <v>106</v>
      </c>
      <c r="K50" s="4" t="s">
        <v>107</v>
      </c>
      <c r="L50" s="4" t="s">
        <v>52</v>
      </c>
      <c r="M50" s="4" t="s">
        <v>55</v>
      </c>
      <c r="N50" s="5">
        <v>46069</v>
      </c>
      <c r="O50" s="5">
        <v>46054</v>
      </c>
      <c r="P50" s="4" t="s">
        <v>164</v>
      </c>
      <c r="Q50" s="4"/>
      <c r="R50" s="4" t="s">
        <v>52</v>
      </c>
      <c r="S50" s="6" t="s">
        <v>78</v>
      </c>
      <c r="T50" s="7" t="s">
        <v>79</v>
      </c>
      <c r="U50" s="12" t="s">
        <v>61</v>
      </c>
      <c r="V50" s="12" t="s">
        <v>62</v>
      </c>
      <c r="W50" s="12" t="s">
        <v>52</v>
      </c>
      <c r="X50" s="12" t="s">
        <v>52</v>
      </c>
      <c r="Y50" s="12" t="s">
        <v>52</v>
      </c>
      <c r="Z50" s="12">
        <v>26671</v>
      </c>
      <c r="AA50" s="12">
        <v>200005426</v>
      </c>
      <c r="AB50" s="12">
        <v>140001941</v>
      </c>
      <c r="AC50" s="12" t="s">
        <v>52</v>
      </c>
      <c r="AD50" s="12" t="s">
        <v>52</v>
      </c>
      <c r="AE50" s="12" t="s">
        <v>64</v>
      </c>
      <c r="AF50" s="12" t="s">
        <v>65</v>
      </c>
      <c r="AG50" s="13" t="s">
        <v>66</v>
      </c>
      <c r="AH50" s="13" t="s">
        <v>66</v>
      </c>
      <c r="AI50" s="12" t="s">
        <v>52</v>
      </c>
      <c r="AJ50" s="12">
        <v>90414638</v>
      </c>
      <c r="AK50" s="12" t="s">
        <v>67</v>
      </c>
      <c r="AL50" s="12" t="s">
        <v>68</v>
      </c>
      <c r="AM50" s="12" t="s">
        <v>69</v>
      </c>
      <c r="AN50" s="12" t="s">
        <v>70</v>
      </c>
      <c r="AO50" s="12" t="s">
        <v>71</v>
      </c>
      <c r="AP50" s="12" t="s">
        <v>72</v>
      </c>
      <c r="AQ50" s="12" t="s">
        <v>61</v>
      </c>
      <c r="AR50" s="12" t="s">
        <v>62</v>
      </c>
      <c r="AS50" s="12" t="s">
        <v>73</v>
      </c>
      <c r="AT50" s="12" t="s">
        <v>73</v>
      </c>
      <c r="AU50" s="12" t="s">
        <v>61</v>
      </c>
      <c r="AV50" s="12" t="s">
        <v>74</v>
      </c>
    </row>
    <row r="51" spans="1:48" ht="15.6">
      <c r="A51" s="3">
        <v>11</v>
      </c>
      <c r="B51" s="4">
        <v>311490003398</v>
      </c>
      <c r="C51" s="4">
        <v>311601002755</v>
      </c>
      <c r="D51" s="4" t="s">
        <v>48</v>
      </c>
      <c r="E51" s="4" t="s">
        <v>49</v>
      </c>
      <c r="F51" s="4" t="s">
        <v>50</v>
      </c>
      <c r="G51" s="4" t="s">
        <v>51</v>
      </c>
      <c r="H51" s="4" t="s">
        <v>52</v>
      </c>
      <c r="I51" s="4" t="s">
        <v>53</v>
      </c>
      <c r="J51" s="4" t="s">
        <v>106</v>
      </c>
      <c r="K51" s="4" t="s">
        <v>107</v>
      </c>
      <c r="L51" s="4" t="s">
        <v>52</v>
      </c>
      <c r="M51" s="4" t="s">
        <v>55</v>
      </c>
      <c r="N51" s="5">
        <v>46069</v>
      </c>
      <c r="O51" s="5">
        <v>46054</v>
      </c>
      <c r="P51" s="4" t="s">
        <v>165</v>
      </c>
      <c r="Q51" s="4"/>
      <c r="R51" s="4" t="s">
        <v>52</v>
      </c>
      <c r="S51" s="6" t="s">
        <v>59</v>
      </c>
      <c r="T51" s="10" t="s">
        <v>166</v>
      </c>
      <c r="U51" s="12" t="s">
        <v>61</v>
      </c>
      <c r="V51" s="12" t="s">
        <v>62</v>
      </c>
      <c r="W51" s="12" t="s">
        <v>52</v>
      </c>
      <c r="X51" s="12" t="s">
        <v>52</v>
      </c>
      <c r="Y51" s="12" t="s">
        <v>52</v>
      </c>
      <c r="Z51" s="12">
        <v>26671</v>
      </c>
      <c r="AA51" s="12">
        <v>200005426</v>
      </c>
      <c r="AB51" s="12">
        <v>140001941</v>
      </c>
      <c r="AC51" s="12" t="s">
        <v>52</v>
      </c>
      <c r="AD51" s="12" t="s">
        <v>52</v>
      </c>
      <c r="AE51" s="12" t="s">
        <v>64</v>
      </c>
      <c r="AF51" s="12" t="s">
        <v>65</v>
      </c>
      <c r="AG51" s="13" t="s">
        <v>66</v>
      </c>
      <c r="AH51" s="13" t="s">
        <v>66</v>
      </c>
      <c r="AI51" s="12" t="s">
        <v>52</v>
      </c>
      <c r="AJ51" s="12">
        <v>90364265</v>
      </c>
      <c r="AK51" s="12" t="s">
        <v>67</v>
      </c>
      <c r="AL51" s="12" t="s">
        <v>68</v>
      </c>
      <c r="AM51" s="12" t="s">
        <v>69</v>
      </c>
      <c r="AN51" s="12" t="s">
        <v>70</v>
      </c>
      <c r="AO51" s="12" t="s">
        <v>71</v>
      </c>
      <c r="AP51" s="12" t="s">
        <v>72</v>
      </c>
      <c r="AQ51" s="12" t="s">
        <v>61</v>
      </c>
      <c r="AR51" s="12" t="s">
        <v>62</v>
      </c>
      <c r="AS51" s="12" t="s">
        <v>73</v>
      </c>
      <c r="AT51" s="12" t="s">
        <v>73</v>
      </c>
      <c r="AU51" s="12" t="s">
        <v>61</v>
      </c>
      <c r="AV51" s="12" t="s">
        <v>74</v>
      </c>
    </row>
    <row r="52" spans="1:48" ht="15.6">
      <c r="A52" s="3">
        <v>51</v>
      </c>
      <c r="B52" s="4">
        <v>311490003398</v>
      </c>
      <c r="C52" s="4">
        <v>311601002756</v>
      </c>
      <c r="D52" s="4" t="s">
        <v>48</v>
      </c>
      <c r="E52" s="4" t="s">
        <v>49</v>
      </c>
      <c r="F52" s="4" t="s">
        <v>50</v>
      </c>
      <c r="G52" s="4" t="s">
        <v>51</v>
      </c>
      <c r="H52" s="4" t="s">
        <v>52</v>
      </c>
      <c r="I52" s="4" t="s">
        <v>53</v>
      </c>
      <c r="J52" s="4" t="s">
        <v>106</v>
      </c>
      <c r="K52" s="4" t="s">
        <v>107</v>
      </c>
      <c r="L52" s="4" t="s">
        <v>52</v>
      </c>
      <c r="M52" s="4" t="s">
        <v>55</v>
      </c>
      <c r="N52" s="5">
        <v>46069</v>
      </c>
      <c r="O52" s="5">
        <v>46054</v>
      </c>
      <c r="P52" s="4" t="s">
        <v>167</v>
      </c>
      <c r="Q52" s="4"/>
      <c r="R52" s="4" t="s">
        <v>52</v>
      </c>
      <c r="S52" s="6" t="s">
        <v>59</v>
      </c>
      <c r="T52" s="11" t="s">
        <v>85</v>
      </c>
      <c r="U52" s="12" t="s">
        <v>61</v>
      </c>
      <c r="V52" s="12" t="s">
        <v>62</v>
      </c>
      <c r="W52" s="12" t="s">
        <v>52</v>
      </c>
      <c r="X52" s="12" t="s">
        <v>52</v>
      </c>
      <c r="Y52" s="12" t="s">
        <v>52</v>
      </c>
      <c r="Z52" s="12">
        <v>26671</v>
      </c>
      <c r="AA52" s="12">
        <v>200005426</v>
      </c>
      <c r="AB52" s="12">
        <v>140001941</v>
      </c>
      <c r="AC52" s="12" t="s">
        <v>52</v>
      </c>
      <c r="AD52" s="12" t="s">
        <v>52</v>
      </c>
      <c r="AE52" s="12" t="s">
        <v>64</v>
      </c>
      <c r="AF52" s="12" t="s">
        <v>65</v>
      </c>
      <c r="AG52" s="13" t="s">
        <v>66</v>
      </c>
      <c r="AH52" s="13" t="s">
        <v>66</v>
      </c>
      <c r="AI52" s="12" t="s">
        <v>52</v>
      </c>
      <c r="AJ52" s="12">
        <v>90448257</v>
      </c>
      <c r="AK52" s="12" t="s">
        <v>67</v>
      </c>
      <c r="AL52" s="12" t="s">
        <v>68</v>
      </c>
      <c r="AM52" s="12" t="s">
        <v>69</v>
      </c>
      <c r="AN52" s="12" t="s">
        <v>70</v>
      </c>
      <c r="AO52" s="12" t="s">
        <v>71</v>
      </c>
      <c r="AP52" s="12" t="s">
        <v>72</v>
      </c>
      <c r="AQ52" s="12" t="s">
        <v>61</v>
      </c>
      <c r="AR52" s="12" t="s">
        <v>62</v>
      </c>
      <c r="AS52" s="12" t="s">
        <v>73</v>
      </c>
      <c r="AT52" s="12" t="s">
        <v>73</v>
      </c>
      <c r="AU52" s="12" t="s">
        <v>61</v>
      </c>
      <c r="AV52" s="12" t="s">
        <v>74</v>
      </c>
    </row>
    <row r="53" spans="1:48" ht="15.6">
      <c r="A53" s="3">
        <v>52</v>
      </c>
      <c r="B53" s="4">
        <v>311490003398</v>
      </c>
      <c r="C53" s="4">
        <v>311601002757</v>
      </c>
      <c r="D53" s="4" t="s">
        <v>48</v>
      </c>
      <c r="E53" s="4" t="s">
        <v>49</v>
      </c>
      <c r="F53" s="4" t="s">
        <v>50</v>
      </c>
      <c r="G53" s="4" t="s">
        <v>51</v>
      </c>
      <c r="H53" s="4" t="s">
        <v>52</v>
      </c>
      <c r="I53" s="4" t="s">
        <v>53</v>
      </c>
      <c r="J53" s="4" t="s">
        <v>106</v>
      </c>
      <c r="K53" s="4" t="s">
        <v>107</v>
      </c>
      <c r="L53" s="4" t="s">
        <v>52</v>
      </c>
      <c r="M53" s="4" t="s">
        <v>55</v>
      </c>
      <c r="N53" s="5">
        <v>46069</v>
      </c>
      <c r="O53" s="5">
        <v>46054</v>
      </c>
      <c r="P53" s="4" t="s">
        <v>168</v>
      </c>
      <c r="Q53" s="4"/>
      <c r="R53" s="4" t="s">
        <v>52</v>
      </c>
      <c r="S53" s="6" t="s">
        <v>59</v>
      </c>
      <c r="T53" s="7" t="s">
        <v>169</v>
      </c>
      <c r="U53" s="12" t="s">
        <v>61</v>
      </c>
      <c r="V53" s="12" t="s">
        <v>62</v>
      </c>
      <c r="W53" s="12" t="s">
        <v>52</v>
      </c>
      <c r="X53" s="12" t="s">
        <v>52</v>
      </c>
      <c r="Y53" s="12" t="s">
        <v>52</v>
      </c>
      <c r="Z53" s="12">
        <v>26671</v>
      </c>
      <c r="AA53" s="12">
        <v>200005426</v>
      </c>
      <c r="AB53" s="12">
        <v>140001941</v>
      </c>
      <c r="AC53" s="12" t="s">
        <v>52</v>
      </c>
      <c r="AD53" s="12" t="s">
        <v>52</v>
      </c>
      <c r="AE53" s="12" t="s">
        <v>64</v>
      </c>
      <c r="AF53" s="12" t="s">
        <v>65</v>
      </c>
      <c r="AG53" s="13" t="s">
        <v>66</v>
      </c>
      <c r="AH53" s="13" t="s">
        <v>66</v>
      </c>
      <c r="AI53" s="12" t="s">
        <v>52</v>
      </c>
      <c r="AJ53" s="12">
        <v>90400820</v>
      </c>
      <c r="AK53" s="12" t="s">
        <v>67</v>
      </c>
      <c r="AL53" s="12" t="s">
        <v>68</v>
      </c>
      <c r="AM53" s="12" t="s">
        <v>69</v>
      </c>
      <c r="AN53" s="12" t="s">
        <v>70</v>
      </c>
      <c r="AO53" s="12" t="s">
        <v>71</v>
      </c>
      <c r="AP53" s="12" t="s">
        <v>72</v>
      </c>
      <c r="AQ53" s="12" t="s">
        <v>61</v>
      </c>
      <c r="AR53" s="12" t="s">
        <v>62</v>
      </c>
      <c r="AS53" s="12" t="s">
        <v>73</v>
      </c>
      <c r="AT53" s="12" t="s">
        <v>73</v>
      </c>
      <c r="AU53" s="12" t="s">
        <v>61</v>
      </c>
      <c r="AV53" s="12" t="s">
        <v>74</v>
      </c>
    </row>
    <row r="54" spans="1:48" ht="15.6">
      <c r="A54" s="3">
        <v>53</v>
      </c>
      <c r="B54" s="4">
        <v>311490003398</v>
      </c>
      <c r="C54" s="4">
        <v>311601002758</v>
      </c>
      <c r="D54" s="4" t="s">
        <v>48</v>
      </c>
      <c r="E54" s="4" t="s">
        <v>49</v>
      </c>
      <c r="F54" s="4" t="s">
        <v>50</v>
      </c>
      <c r="G54" s="4" t="s">
        <v>51</v>
      </c>
      <c r="H54" s="4" t="s">
        <v>52</v>
      </c>
      <c r="I54" s="4" t="s">
        <v>53</v>
      </c>
      <c r="J54" s="4" t="s">
        <v>106</v>
      </c>
      <c r="K54" s="4" t="s">
        <v>107</v>
      </c>
      <c r="L54" s="4" t="s">
        <v>52</v>
      </c>
      <c r="M54" s="4" t="s">
        <v>55</v>
      </c>
      <c r="N54" s="5">
        <v>46069</v>
      </c>
      <c r="O54" s="5">
        <v>46054</v>
      </c>
      <c r="P54" s="4" t="s">
        <v>170</v>
      </c>
      <c r="Q54" s="4"/>
      <c r="R54" s="4" t="s">
        <v>52</v>
      </c>
      <c r="S54" s="6" t="s">
        <v>59</v>
      </c>
      <c r="T54" s="7" t="s">
        <v>171</v>
      </c>
      <c r="U54" s="12" t="s">
        <v>61</v>
      </c>
      <c r="V54" s="12" t="s">
        <v>62</v>
      </c>
      <c r="W54" s="12" t="s">
        <v>52</v>
      </c>
      <c r="X54" s="12" t="s">
        <v>52</v>
      </c>
      <c r="Y54" s="12" t="s">
        <v>52</v>
      </c>
      <c r="Z54" s="12">
        <v>26671</v>
      </c>
      <c r="AA54" s="12">
        <v>200005426</v>
      </c>
      <c r="AB54" s="12">
        <v>140001941</v>
      </c>
      <c r="AC54" s="12" t="s">
        <v>52</v>
      </c>
      <c r="AD54" s="12" t="s">
        <v>52</v>
      </c>
      <c r="AE54" s="12" t="s">
        <v>64</v>
      </c>
      <c r="AF54" s="12" t="s">
        <v>65</v>
      </c>
      <c r="AG54" s="13" t="s">
        <v>66</v>
      </c>
      <c r="AH54" s="13" t="s">
        <v>66</v>
      </c>
      <c r="AI54" s="12" t="s">
        <v>52</v>
      </c>
      <c r="AJ54" s="12">
        <v>90460040</v>
      </c>
      <c r="AK54" s="12" t="s">
        <v>67</v>
      </c>
      <c r="AL54" s="12" t="s">
        <v>68</v>
      </c>
      <c r="AM54" s="12" t="s">
        <v>69</v>
      </c>
      <c r="AN54" s="12" t="s">
        <v>70</v>
      </c>
      <c r="AO54" s="12" t="s">
        <v>71</v>
      </c>
      <c r="AP54" s="12" t="s">
        <v>72</v>
      </c>
      <c r="AQ54" s="12" t="s">
        <v>61</v>
      </c>
      <c r="AR54" s="12" t="s">
        <v>62</v>
      </c>
      <c r="AS54" s="12" t="s">
        <v>73</v>
      </c>
      <c r="AT54" s="12" t="s">
        <v>73</v>
      </c>
      <c r="AU54" s="12" t="s">
        <v>61</v>
      </c>
      <c r="AV54" s="12" t="s">
        <v>74</v>
      </c>
    </row>
    <row r="55" spans="1:48" ht="15.6">
      <c r="A55" s="3">
        <v>54</v>
      </c>
      <c r="B55" s="4">
        <v>311490003398</v>
      </c>
      <c r="C55" s="4">
        <v>311601002759</v>
      </c>
      <c r="D55" s="4" t="s">
        <v>52</v>
      </c>
      <c r="E55" s="4" t="s">
        <v>49</v>
      </c>
      <c r="F55" s="4" t="s">
        <v>50</v>
      </c>
      <c r="G55" s="4" t="s">
        <v>51</v>
      </c>
      <c r="H55" s="4" t="s">
        <v>52</v>
      </c>
      <c r="I55" s="4" t="s">
        <v>53</v>
      </c>
      <c r="J55" s="4" t="s">
        <v>106</v>
      </c>
      <c r="K55" s="4" t="s">
        <v>107</v>
      </c>
      <c r="L55" s="4" t="s">
        <v>52</v>
      </c>
      <c r="M55" s="4" t="s">
        <v>55</v>
      </c>
      <c r="N55" s="5">
        <v>46069</v>
      </c>
      <c r="O55" s="5">
        <v>46054</v>
      </c>
      <c r="P55" s="4" t="s">
        <v>172</v>
      </c>
      <c r="Q55" s="4"/>
      <c r="R55" s="4" t="s">
        <v>52</v>
      </c>
      <c r="S55" s="6" t="s">
        <v>78</v>
      </c>
      <c r="T55" s="7" t="s">
        <v>79</v>
      </c>
      <c r="U55" s="12" t="s">
        <v>61</v>
      </c>
      <c r="V55" s="12" t="s">
        <v>62</v>
      </c>
      <c r="W55" s="12" t="s">
        <v>52</v>
      </c>
      <c r="X55" s="12" t="s">
        <v>52</v>
      </c>
      <c r="Y55" s="12" t="s">
        <v>52</v>
      </c>
      <c r="Z55" s="12">
        <v>26671</v>
      </c>
      <c r="AA55" s="12">
        <v>200005426</v>
      </c>
      <c r="AB55" s="12">
        <v>140001941</v>
      </c>
      <c r="AC55" s="12" t="s">
        <v>52</v>
      </c>
      <c r="AD55" s="12" t="s">
        <v>52</v>
      </c>
      <c r="AE55" s="12" t="s">
        <v>64</v>
      </c>
      <c r="AF55" s="12" t="s">
        <v>65</v>
      </c>
      <c r="AG55" s="13" t="s">
        <v>66</v>
      </c>
      <c r="AH55" s="13" t="s">
        <v>66</v>
      </c>
      <c r="AI55" s="12" t="s">
        <v>52</v>
      </c>
      <c r="AJ55" s="12">
        <v>90376016</v>
      </c>
      <c r="AK55" s="12" t="s">
        <v>67</v>
      </c>
      <c r="AL55" s="12" t="s">
        <v>68</v>
      </c>
      <c r="AM55" s="12" t="s">
        <v>69</v>
      </c>
      <c r="AN55" s="12" t="s">
        <v>70</v>
      </c>
      <c r="AO55" s="12" t="s">
        <v>71</v>
      </c>
      <c r="AP55" s="12" t="s">
        <v>72</v>
      </c>
      <c r="AQ55" s="12" t="s">
        <v>61</v>
      </c>
      <c r="AR55" s="12" t="s">
        <v>62</v>
      </c>
      <c r="AS55" s="12" t="s">
        <v>73</v>
      </c>
      <c r="AT55" s="12" t="s">
        <v>73</v>
      </c>
      <c r="AU55" s="12" t="s">
        <v>61</v>
      </c>
      <c r="AV55" s="12" t="s">
        <v>74</v>
      </c>
    </row>
    <row r="56" spans="1:48" ht="15.6">
      <c r="A56" s="3">
        <v>55</v>
      </c>
      <c r="B56" s="4">
        <v>311490003398</v>
      </c>
      <c r="C56" s="4">
        <v>311601002760</v>
      </c>
      <c r="D56" s="4" t="s">
        <v>52</v>
      </c>
      <c r="E56" s="4" t="s">
        <v>49</v>
      </c>
      <c r="F56" s="4" t="s">
        <v>50</v>
      </c>
      <c r="G56" s="4" t="s">
        <v>51</v>
      </c>
      <c r="H56" s="4" t="s">
        <v>52</v>
      </c>
      <c r="I56" s="4" t="s">
        <v>53</v>
      </c>
      <c r="J56" s="4" t="s">
        <v>106</v>
      </c>
      <c r="K56" s="4" t="s">
        <v>107</v>
      </c>
      <c r="L56" s="4" t="s">
        <v>52</v>
      </c>
      <c r="M56" s="4" t="s">
        <v>55</v>
      </c>
      <c r="N56" s="5">
        <v>46069</v>
      </c>
      <c r="O56" s="5">
        <v>46054</v>
      </c>
      <c r="P56" s="4" t="s">
        <v>173</v>
      </c>
      <c r="Q56" s="4"/>
      <c r="R56" s="4" t="s">
        <v>52</v>
      </c>
      <c r="S56" s="6" t="s">
        <v>78</v>
      </c>
      <c r="T56" s="7" t="s">
        <v>79</v>
      </c>
      <c r="U56" s="12" t="s">
        <v>61</v>
      </c>
      <c r="V56" s="12" t="s">
        <v>62</v>
      </c>
      <c r="W56" s="12" t="s">
        <v>52</v>
      </c>
      <c r="X56" s="12" t="s">
        <v>52</v>
      </c>
      <c r="Y56" s="12" t="s">
        <v>52</v>
      </c>
      <c r="Z56" s="12">
        <v>26671</v>
      </c>
      <c r="AA56" s="12">
        <v>200005426</v>
      </c>
      <c r="AB56" s="12">
        <v>140001941</v>
      </c>
      <c r="AC56" s="12" t="s">
        <v>52</v>
      </c>
      <c r="AD56" s="12" t="s">
        <v>52</v>
      </c>
      <c r="AE56" s="12" t="s">
        <v>64</v>
      </c>
      <c r="AF56" s="12" t="s">
        <v>65</v>
      </c>
      <c r="AG56" s="13" t="s">
        <v>66</v>
      </c>
      <c r="AH56" s="13" t="s">
        <v>66</v>
      </c>
      <c r="AI56" s="12" t="s">
        <v>52</v>
      </c>
      <c r="AJ56" s="12">
        <v>90443573</v>
      </c>
      <c r="AK56" s="12" t="s">
        <v>67</v>
      </c>
      <c r="AL56" s="12" t="s">
        <v>68</v>
      </c>
      <c r="AM56" s="12" t="s">
        <v>69</v>
      </c>
      <c r="AN56" s="12" t="s">
        <v>70</v>
      </c>
      <c r="AO56" s="12" t="s">
        <v>71</v>
      </c>
      <c r="AP56" s="12" t="s">
        <v>72</v>
      </c>
      <c r="AQ56" s="12" t="s">
        <v>61</v>
      </c>
      <c r="AR56" s="12" t="s">
        <v>62</v>
      </c>
      <c r="AS56" s="12" t="s">
        <v>73</v>
      </c>
      <c r="AT56" s="12" t="s">
        <v>73</v>
      </c>
      <c r="AU56" s="12" t="s">
        <v>61</v>
      </c>
      <c r="AV56" s="12" t="s">
        <v>74</v>
      </c>
    </row>
    <row r="57" spans="1:48" ht="15.6">
      <c r="A57" s="3">
        <v>56</v>
      </c>
      <c r="B57" s="4">
        <v>311490003398</v>
      </c>
      <c r="C57" s="4">
        <v>311601002761</v>
      </c>
      <c r="D57" s="4" t="s">
        <v>52</v>
      </c>
      <c r="E57" s="4" t="s">
        <v>49</v>
      </c>
      <c r="F57" s="4" t="s">
        <v>50</v>
      </c>
      <c r="G57" s="4" t="s">
        <v>51</v>
      </c>
      <c r="H57" s="4" t="s">
        <v>52</v>
      </c>
      <c r="I57" s="4" t="s">
        <v>53</v>
      </c>
      <c r="J57" s="4" t="s">
        <v>106</v>
      </c>
      <c r="K57" s="4" t="s">
        <v>107</v>
      </c>
      <c r="L57" s="4" t="s">
        <v>52</v>
      </c>
      <c r="M57" s="4" t="s">
        <v>55</v>
      </c>
      <c r="N57" s="5">
        <v>46069</v>
      </c>
      <c r="O57" s="5">
        <v>46054</v>
      </c>
      <c r="P57" s="4" t="s">
        <v>174</v>
      </c>
      <c r="Q57" s="4"/>
      <c r="R57" s="4" t="s">
        <v>52</v>
      </c>
      <c r="S57" s="6" t="s">
        <v>78</v>
      </c>
      <c r="T57" s="7" t="s">
        <v>79</v>
      </c>
      <c r="U57" s="12" t="s">
        <v>61</v>
      </c>
      <c r="V57" s="12" t="s">
        <v>62</v>
      </c>
      <c r="W57" s="12" t="s">
        <v>52</v>
      </c>
      <c r="X57" s="12" t="s">
        <v>52</v>
      </c>
      <c r="Y57" s="12" t="s">
        <v>52</v>
      </c>
      <c r="Z57" s="12">
        <v>26671</v>
      </c>
      <c r="AA57" s="12">
        <v>200005426</v>
      </c>
      <c r="AB57" s="12">
        <v>140001941</v>
      </c>
      <c r="AC57" s="12" t="s">
        <v>52</v>
      </c>
      <c r="AD57" s="12" t="s">
        <v>52</v>
      </c>
      <c r="AE57" s="12" t="s">
        <v>64</v>
      </c>
      <c r="AF57" s="12" t="s">
        <v>65</v>
      </c>
      <c r="AG57" s="13" t="s">
        <v>66</v>
      </c>
      <c r="AH57" s="13" t="s">
        <v>66</v>
      </c>
      <c r="AI57" s="12" t="s">
        <v>52</v>
      </c>
      <c r="AJ57" s="12">
        <v>90460042</v>
      </c>
      <c r="AK57" s="12" t="s">
        <v>67</v>
      </c>
      <c r="AL57" s="12" t="s">
        <v>68</v>
      </c>
      <c r="AM57" s="12" t="s">
        <v>69</v>
      </c>
      <c r="AN57" s="12" t="s">
        <v>70</v>
      </c>
      <c r="AO57" s="12" t="s">
        <v>71</v>
      </c>
      <c r="AP57" s="12" t="s">
        <v>72</v>
      </c>
      <c r="AQ57" s="12" t="s">
        <v>61</v>
      </c>
      <c r="AR57" s="12" t="s">
        <v>62</v>
      </c>
      <c r="AS57" s="12" t="s">
        <v>73</v>
      </c>
      <c r="AT57" s="12" t="s">
        <v>73</v>
      </c>
      <c r="AU57" s="12" t="s">
        <v>61</v>
      </c>
      <c r="AV57" s="12" t="s">
        <v>74</v>
      </c>
    </row>
    <row r="58" spans="1:48" ht="15.6">
      <c r="A58" s="3">
        <v>57</v>
      </c>
      <c r="B58" s="4">
        <v>311490003398</v>
      </c>
      <c r="C58" s="4">
        <v>311601002762</v>
      </c>
      <c r="D58" s="4" t="s">
        <v>52</v>
      </c>
      <c r="E58" s="4" t="s">
        <v>49</v>
      </c>
      <c r="F58" s="4" t="s">
        <v>50</v>
      </c>
      <c r="G58" s="4" t="s">
        <v>51</v>
      </c>
      <c r="H58" s="4" t="s">
        <v>52</v>
      </c>
      <c r="I58" s="4" t="s">
        <v>53</v>
      </c>
      <c r="J58" s="4" t="s">
        <v>106</v>
      </c>
      <c r="K58" s="4" t="s">
        <v>107</v>
      </c>
      <c r="L58" s="4" t="s">
        <v>52</v>
      </c>
      <c r="M58" s="4" t="s">
        <v>55</v>
      </c>
      <c r="N58" s="5">
        <v>46069</v>
      </c>
      <c r="O58" s="5">
        <v>46054</v>
      </c>
      <c r="P58" s="4" t="s">
        <v>175</v>
      </c>
      <c r="Q58" s="4"/>
      <c r="R58" s="4" t="s">
        <v>52</v>
      </c>
      <c r="S58" s="6" t="s">
        <v>78</v>
      </c>
      <c r="T58" s="7" t="s">
        <v>79</v>
      </c>
      <c r="U58" s="12" t="s">
        <v>61</v>
      </c>
      <c r="V58" s="12" t="s">
        <v>62</v>
      </c>
      <c r="W58" s="12" t="s">
        <v>52</v>
      </c>
      <c r="X58" s="12" t="s">
        <v>52</v>
      </c>
      <c r="Y58" s="12" t="s">
        <v>52</v>
      </c>
      <c r="Z58" s="12">
        <v>26671</v>
      </c>
      <c r="AA58" s="12">
        <v>200005426</v>
      </c>
      <c r="AB58" s="12">
        <v>140001941</v>
      </c>
      <c r="AC58" s="12" t="s">
        <v>52</v>
      </c>
      <c r="AD58" s="12" t="s">
        <v>52</v>
      </c>
      <c r="AE58" s="12" t="s">
        <v>64</v>
      </c>
      <c r="AF58" s="12" t="s">
        <v>65</v>
      </c>
      <c r="AG58" s="13" t="s">
        <v>66</v>
      </c>
      <c r="AH58" s="13" t="s">
        <v>66</v>
      </c>
      <c r="AI58" s="12" t="s">
        <v>52</v>
      </c>
      <c r="AJ58" s="12">
        <v>90425488</v>
      </c>
      <c r="AK58" s="12" t="s">
        <v>67</v>
      </c>
      <c r="AL58" s="12" t="s">
        <v>68</v>
      </c>
      <c r="AM58" s="12" t="s">
        <v>69</v>
      </c>
      <c r="AN58" s="12" t="s">
        <v>70</v>
      </c>
      <c r="AO58" s="12" t="s">
        <v>71</v>
      </c>
      <c r="AP58" s="12" t="s">
        <v>72</v>
      </c>
      <c r="AQ58" s="12" t="s">
        <v>61</v>
      </c>
      <c r="AR58" s="12" t="s">
        <v>62</v>
      </c>
      <c r="AS58" s="12" t="s">
        <v>73</v>
      </c>
      <c r="AT58" s="12" t="s">
        <v>73</v>
      </c>
      <c r="AU58" s="12" t="s">
        <v>61</v>
      </c>
      <c r="AV58" s="12" t="s">
        <v>74</v>
      </c>
    </row>
    <row r="59" spans="1:48" ht="15.6">
      <c r="A59" s="3">
        <v>12</v>
      </c>
      <c r="B59" s="4">
        <v>311490003398</v>
      </c>
      <c r="C59" s="4">
        <v>311601002763</v>
      </c>
      <c r="D59" s="4" t="s">
        <v>52</v>
      </c>
      <c r="E59" s="4" t="s">
        <v>49</v>
      </c>
      <c r="F59" s="4" t="s">
        <v>50</v>
      </c>
      <c r="G59" s="4" t="s">
        <v>51</v>
      </c>
      <c r="H59" s="4" t="s">
        <v>52</v>
      </c>
      <c r="I59" s="4" t="s">
        <v>53</v>
      </c>
      <c r="J59" s="4" t="s">
        <v>106</v>
      </c>
      <c r="K59" s="4" t="s">
        <v>107</v>
      </c>
      <c r="L59" s="4" t="s">
        <v>52</v>
      </c>
      <c r="M59" s="4" t="s">
        <v>55</v>
      </c>
      <c r="N59" s="5">
        <v>46069</v>
      </c>
      <c r="O59" s="5">
        <v>46054</v>
      </c>
      <c r="P59" s="4" t="s">
        <v>176</v>
      </c>
      <c r="Q59" s="4"/>
      <c r="R59" s="4" t="s">
        <v>52</v>
      </c>
      <c r="S59" s="6" t="s">
        <v>59</v>
      </c>
      <c r="T59" s="11" t="s">
        <v>177</v>
      </c>
      <c r="U59" s="12" t="s">
        <v>61</v>
      </c>
      <c r="V59" s="12" t="s">
        <v>62</v>
      </c>
      <c r="W59" s="12" t="s">
        <v>52</v>
      </c>
      <c r="X59" s="12" t="s">
        <v>52</v>
      </c>
      <c r="Y59" s="12" t="s">
        <v>52</v>
      </c>
      <c r="Z59" s="12">
        <v>26671</v>
      </c>
      <c r="AA59" s="12">
        <v>200005426</v>
      </c>
      <c r="AB59" s="12">
        <v>140001941</v>
      </c>
      <c r="AC59" s="12" t="s">
        <v>52</v>
      </c>
      <c r="AD59" s="12" t="s">
        <v>52</v>
      </c>
      <c r="AE59" s="12" t="s">
        <v>64</v>
      </c>
      <c r="AF59" s="12" t="s">
        <v>65</v>
      </c>
      <c r="AG59" s="13" t="s">
        <v>66</v>
      </c>
      <c r="AH59" s="13" t="s">
        <v>66</v>
      </c>
      <c r="AI59" s="12" t="s">
        <v>52</v>
      </c>
      <c r="AJ59" s="12">
        <v>90443575</v>
      </c>
      <c r="AK59" s="12" t="s">
        <v>67</v>
      </c>
      <c r="AL59" s="12" t="s">
        <v>68</v>
      </c>
      <c r="AM59" s="12" t="s">
        <v>69</v>
      </c>
      <c r="AN59" s="12" t="s">
        <v>70</v>
      </c>
      <c r="AO59" s="12" t="s">
        <v>71</v>
      </c>
      <c r="AP59" s="12" t="s">
        <v>72</v>
      </c>
      <c r="AQ59" s="12" t="s">
        <v>61</v>
      </c>
      <c r="AR59" s="12" t="s">
        <v>62</v>
      </c>
      <c r="AS59" s="12" t="s">
        <v>73</v>
      </c>
      <c r="AT59" s="12" t="s">
        <v>73</v>
      </c>
      <c r="AU59" s="12" t="s">
        <v>61</v>
      </c>
      <c r="AV59" s="12" t="s">
        <v>74</v>
      </c>
    </row>
    <row r="60" spans="1:48" ht="15.6">
      <c r="A60" s="3">
        <v>13</v>
      </c>
      <c r="B60" s="4">
        <v>311490003398</v>
      </c>
      <c r="C60" s="4">
        <v>311601002764</v>
      </c>
      <c r="D60" s="4" t="s">
        <v>52</v>
      </c>
      <c r="E60" s="4" t="s">
        <v>49</v>
      </c>
      <c r="F60" s="4" t="s">
        <v>50</v>
      </c>
      <c r="G60" s="4" t="s">
        <v>51</v>
      </c>
      <c r="H60" s="4" t="s">
        <v>52</v>
      </c>
      <c r="I60" s="4" t="s">
        <v>53</v>
      </c>
      <c r="J60" s="4" t="s">
        <v>106</v>
      </c>
      <c r="K60" s="4" t="s">
        <v>107</v>
      </c>
      <c r="L60" s="4" t="s">
        <v>52</v>
      </c>
      <c r="M60" s="4" t="s">
        <v>55</v>
      </c>
      <c r="N60" s="5">
        <v>46069</v>
      </c>
      <c r="O60" s="5">
        <v>46054</v>
      </c>
      <c r="P60" s="4" t="s">
        <v>178</v>
      </c>
      <c r="Q60" s="4"/>
      <c r="R60" s="4" t="s">
        <v>52</v>
      </c>
      <c r="S60" s="6" t="s">
        <v>59</v>
      </c>
      <c r="T60" s="11" t="s">
        <v>179</v>
      </c>
      <c r="U60" s="12" t="s">
        <v>61</v>
      </c>
      <c r="V60" s="12" t="s">
        <v>62</v>
      </c>
      <c r="W60" s="12" t="s">
        <v>52</v>
      </c>
      <c r="X60" s="12" t="s">
        <v>52</v>
      </c>
      <c r="Y60" s="12" t="s">
        <v>52</v>
      </c>
      <c r="Z60" s="12">
        <v>26671</v>
      </c>
      <c r="AA60" s="12">
        <v>200005426</v>
      </c>
      <c r="AB60" s="12">
        <v>140001941</v>
      </c>
      <c r="AC60" s="12" t="s">
        <v>52</v>
      </c>
      <c r="AD60" s="12" t="s">
        <v>52</v>
      </c>
      <c r="AE60" s="12" t="s">
        <v>64</v>
      </c>
      <c r="AF60" s="12" t="s">
        <v>65</v>
      </c>
      <c r="AG60" s="13" t="s">
        <v>66</v>
      </c>
      <c r="AH60" s="13" t="s">
        <v>66</v>
      </c>
      <c r="AI60" s="12" t="s">
        <v>52</v>
      </c>
      <c r="AJ60" s="12">
        <v>90400822</v>
      </c>
      <c r="AK60" s="12" t="s">
        <v>67</v>
      </c>
      <c r="AL60" s="12" t="s">
        <v>68</v>
      </c>
      <c r="AM60" s="12" t="s">
        <v>69</v>
      </c>
      <c r="AN60" s="12" t="s">
        <v>70</v>
      </c>
      <c r="AO60" s="12" t="s">
        <v>71</v>
      </c>
      <c r="AP60" s="12" t="s">
        <v>72</v>
      </c>
      <c r="AQ60" s="12" t="s">
        <v>61</v>
      </c>
      <c r="AR60" s="12" t="s">
        <v>62</v>
      </c>
      <c r="AS60" s="12" t="s">
        <v>73</v>
      </c>
      <c r="AT60" s="12" t="s">
        <v>73</v>
      </c>
      <c r="AU60" s="12" t="s">
        <v>61</v>
      </c>
      <c r="AV60" s="12" t="s">
        <v>74</v>
      </c>
    </row>
    <row r="61" spans="1:48" ht="15.6">
      <c r="A61" s="3">
        <v>14</v>
      </c>
      <c r="B61" s="4">
        <v>311490003398</v>
      </c>
      <c r="C61" s="4">
        <v>311601002765</v>
      </c>
      <c r="D61" s="4" t="s">
        <v>52</v>
      </c>
      <c r="E61" s="4" t="s">
        <v>49</v>
      </c>
      <c r="F61" s="4" t="s">
        <v>50</v>
      </c>
      <c r="G61" s="4" t="s">
        <v>51</v>
      </c>
      <c r="H61" s="4" t="s">
        <v>52</v>
      </c>
      <c r="I61" s="4" t="s">
        <v>53</v>
      </c>
      <c r="J61" s="4" t="s">
        <v>106</v>
      </c>
      <c r="K61" s="4" t="s">
        <v>107</v>
      </c>
      <c r="L61" s="4" t="s">
        <v>52</v>
      </c>
      <c r="M61" s="4" t="s">
        <v>55</v>
      </c>
      <c r="N61" s="5">
        <v>46069</v>
      </c>
      <c r="O61" s="5">
        <v>46054</v>
      </c>
      <c r="P61" s="4" t="s">
        <v>180</v>
      </c>
      <c r="Q61" s="4"/>
      <c r="R61" s="4" t="s">
        <v>52</v>
      </c>
      <c r="S61" s="6" t="s">
        <v>59</v>
      </c>
      <c r="T61" s="11" t="s">
        <v>92</v>
      </c>
      <c r="U61" s="12" t="s">
        <v>61</v>
      </c>
      <c r="V61" s="12" t="s">
        <v>62</v>
      </c>
      <c r="W61" s="12" t="s">
        <v>52</v>
      </c>
      <c r="X61" s="12" t="s">
        <v>52</v>
      </c>
      <c r="Y61" s="12" t="s">
        <v>52</v>
      </c>
      <c r="Z61" s="12">
        <v>26671</v>
      </c>
      <c r="AA61" s="12">
        <v>200005426</v>
      </c>
      <c r="AB61" s="12">
        <v>140001941</v>
      </c>
      <c r="AC61" s="12" t="s">
        <v>52</v>
      </c>
      <c r="AD61" s="12" t="s">
        <v>52</v>
      </c>
      <c r="AE61" s="12" t="s">
        <v>64</v>
      </c>
      <c r="AF61" s="12" t="s">
        <v>65</v>
      </c>
      <c r="AG61" s="13" t="s">
        <v>66</v>
      </c>
      <c r="AH61" s="13" t="s">
        <v>66</v>
      </c>
      <c r="AI61" s="12" t="s">
        <v>52</v>
      </c>
      <c r="AJ61" s="12">
        <v>90363459</v>
      </c>
      <c r="AK61" s="12" t="s">
        <v>67</v>
      </c>
      <c r="AL61" s="12" t="s">
        <v>68</v>
      </c>
      <c r="AM61" s="12" t="s">
        <v>69</v>
      </c>
      <c r="AN61" s="12" t="s">
        <v>70</v>
      </c>
      <c r="AO61" s="12" t="s">
        <v>71</v>
      </c>
      <c r="AP61" s="12" t="s">
        <v>72</v>
      </c>
      <c r="AQ61" s="12" t="s">
        <v>61</v>
      </c>
      <c r="AR61" s="12" t="s">
        <v>62</v>
      </c>
      <c r="AS61" s="12" t="s">
        <v>73</v>
      </c>
      <c r="AT61" s="12" t="s">
        <v>73</v>
      </c>
      <c r="AU61" s="12" t="s">
        <v>61</v>
      </c>
      <c r="AV61" s="12" t="s">
        <v>74</v>
      </c>
    </row>
    <row r="62" spans="1:48" ht="15.6">
      <c r="A62" s="3">
        <v>61</v>
      </c>
      <c r="B62" s="4">
        <v>311490003398</v>
      </c>
      <c r="C62" s="4">
        <v>311601002766</v>
      </c>
      <c r="D62" s="4" t="s">
        <v>52</v>
      </c>
      <c r="E62" s="4" t="s">
        <v>49</v>
      </c>
      <c r="F62" s="4" t="s">
        <v>50</v>
      </c>
      <c r="G62" s="4" t="s">
        <v>51</v>
      </c>
      <c r="H62" s="4" t="s">
        <v>52</v>
      </c>
      <c r="I62" s="4" t="s">
        <v>53</v>
      </c>
      <c r="J62" s="4" t="s">
        <v>106</v>
      </c>
      <c r="K62" s="4" t="s">
        <v>107</v>
      </c>
      <c r="L62" s="4" t="s">
        <v>52</v>
      </c>
      <c r="M62" s="4" t="s">
        <v>55</v>
      </c>
      <c r="N62" s="5">
        <v>46069</v>
      </c>
      <c r="O62" s="5">
        <v>46054</v>
      </c>
      <c r="P62" s="4" t="s">
        <v>181</v>
      </c>
      <c r="Q62" s="4"/>
      <c r="R62" s="4" t="s">
        <v>52</v>
      </c>
      <c r="S62" s="6" t="s">
        <v>59</v>
      </c>
      <c r="T62" s="7" t="s">
        <v>103</v>
      </c>
      <c r="U62" s="12" t="s">
        <v>61</v>
      </c>
      <c r="V62" s="12" t="s">
        <v>62</v>
      </c>
      <c r="W62" s="12" t="s">
        <v>52</v>
      </c>
      <c r="X62" s="12" t="s">
        <v>52</v>
      </c>
      <c r="Y62" s="12" t="s">
        <v>52</v>
      </c>
      <c r="Z62" s="12">
        <v>26671</v>
      </c>
      <c r="AA62" s="12">
        <v>200005426</v>
      </c>
      <c r="AB62" s="12">
        <v>140001941</v>
      </c>
      <c r="AC62" s="12" t="s">
        <v>52</v>
      </c>
      <c r="AD62" s="12" t="s">
        <v>52</v>
      </c>
      <c r="AE62" s="12" t="s">
        <v>64</v>
      </c>
      <c r="AF62" s="12" t="s">
        <v>65</v>
      </c>
      <c r="AG62" s="13" t="s">
        <v>66</v>
      </c>
      <c r="AH62" s="13" t="s">
        <v>66</v>
      </c>
      <c r="AI62" s="12" t="s">
        <v>52</v>
      </c>
      <c r="AJ62" s="12">
        <v>90448258</v>
      </c>
      <c r="AK62" s="12" t="s">
        <v>67</v>
      </c>
      <c r="AL62" s="12" t="s">
        <v>68</v>
      </c>
      <c r="AM62" s="12" t="s">
        <v>69</v>
      </c>
      <c r="AN62" s="12" t="s">
        <v>70</v>
      </c>
      <c r="AO62" s="12" t="s">
        <v>71</v>
      </c>
      <c r="AP62" s="12" t="s">
        <v>72</v>
      </c>
      <c r="AQ62" s="12" t="s">
        <v>61</v>
      </c>
      <c r="AR62" s="12" t="s">
        <v>62</v>
      </c>
      <c r="AS62" s="12" t="s">
        <v>73</v>
      </c>
      <c r="AT62" s="12" t="s">
        <v>73</v>
      </c>
      <c r="AU62" s="12" t="s">
        <v>61</v>
      </c>
      <c r="AV62" s="12" t="s">
        <v>74</v>
      </c>
    </row>
    <row r="63" spans="1:48" ht="15.6">
      <c r="A63" s="3">
        <v>62</v>
      </c>
      <c r="B63" s="4">
        <v>311490003398</v>
      </c>
      <c r="C63" s="4">
        <v>311601002767</v>
      </c>
      <c r="D63" s="4" t="s">
        <v>52</v>
      </c>
      <c r="E63" s="4" t="s">
        <v>49</v>
      </c>
      <c r="F63" s="4" t="s">
        <v>50</v>
      </c>
      <c r="G63" s="4" t="s">
        <v>51</v>
      </c>
      <c r="H63" s="4" t="s">
        <v>52</v>
      </c>
      <c r="I63" s="4" t="s">
        <v>53</v>
      </c>
      <c r="J63" s="4" t="s">
        <v>106</v>
      </c>
      <c r="K63" s="4" t="s">
        <v>107</v>
      </c>
      <c r="L63" s="4" t="s">
        <v>52</v>
      </c>
      <c r="M63" s="4" t="s">
        <v>55</v>
      </c>
      <c r="N63" s="5">
        <v>46069</v>
      </c>
      <c r="O63" s="5">
        <v>46054</v>
      </c>
      <c r="P63" s="4" t="s">
        <v>182</v>
      </c>
      <c r="Q63" s="4"/>
      <c r="R63" s="4" t="s">
        <v>52</v>
      </c>
      <c r="S63" s="6" t="s">
        <v>59</v>
      </c>
      <c r="T63" s="7" t="s">
        <v>103</v>
      </c>
      <c r="U63" s="12" t="s">
        <v>61</v>
      </c>
      <c r="V63" s="12" t="s">
        <v>62</v>
      </c>
      <c r="W63" s="12" t="s">
        <v>52</v>
      </c>
      <c r="X63" s="12" t="s">
        <v>52</v>
      </c>
      <c r="Y63" s="12" t="s">
        <v>52</v>
      </c>
      <c r="Z63" s="12">
        <v>26671</v>
      </c>
      <c r="AA63" s="12">
        <v>200005426</v>
      </c>
      <c r="AB63" s="12">
        <v>140001941</v>
      </c>
      <c r="AC63" s="12" t="s">
        <v>52</v>
      </c>
      <c r="AD63" s="12" t="s">
        <v>52</v>
      </c>
      <c r="AE63" s="12" t="s">
        <v>64</v>
      </c>
      <c r="AF63" s="12" t="s">
        <v>65</v>
      </c>
      <c r="AG63" s="13" t="s">
        <v>66</v>
      </c>
      <c r="AH63" s="13" t="s">
        <v>66</v>
      </c>
      <c r="AI63" s="12" t="s">
        <v>52</v>
      </c>
      <c r="AJ63" s="12">
        <v>90410553</v>
      </c>
      <c r="AK63" s="12" t="s">
        <v>67</v>
      </c>
      <c r="AL63" s="12" t="s">
        <v>68</v>
      </c>
      <c r="AM63" s="12" t="s">
        <v>69</v>
      </c>
      <c r="AN63" s="12" t="s">
        <v>70</v>
      </c>
      <c r="AO63" s="12" t="s">
        <v>71</v>
      </c>
      <c r="AP63" s="12" t="s">
        <v>72</v>
      </c>
      <c r="AQ63" s="12" t="s">
        <v>61</v>
      </c>
      <c r="AR63" s="12" t="s">
        <v>62</v>
      </c>
      <c r="AS63" s="12" t="s">
        <v>73</v>
      </c>
      <c r="AT63" s="12" t="s">
        <v>73</v>
      </c>
      <c r="AU63" s="12" t="s">
        <v>61</v>
      </c>
      <c r="AV63" s="12" t="s">
        <v>74</v>
      </c>
    </row>
    <row r="64" spans="1:48" ht="15.6">
      <c r="A64" s="3">
        <v>63</v>
      </c>
      <c r="B64" s="4">
        <v>311490003398</v>
      </c>
      <c r="C64" s="4">
        <v>311202004670</v>
      </c>
      <c r="D64" s="4" t="s">
        <v>48</v>
      </c>
      <c r="E64" s="4" t="s">
        <v>49</v>
      </c>
      <c r="F64" s="4" t="s">
        <v>50</v>
      </c>
      <c r="G64" s="4" t="s">
        <v>51</v>
      </c>
      <c r="H64" s="4" t="s">
        <v>52</v>
      </c>
      <c r="I64" s="4" t="s">
        <v>53</v>
      </c>
      <c r="J64" s="4" t="s">
        <v>54</v>
      </c>
      <c r="K64" s="4" t="s">
        <v>54</v>
      </c>
      <c r="L64" s="4" t="s">
        <v>52</v>
      </c>
      <c r="M64" s="4" t="s">
        <v>55</v>
      </c>
      <c r="N64" s="5">
        <v>46069</v>
      </c>
      <c r="O64" s="5">
        <v>46054</v>
      </c>
      <c r="P64" s="4" t="s">
        <v>183</v>
      </c>
      <c r="Q64" s="4" t="s">
        <v>76</v>
      </c>
      <c r="R64" s="4" t="s">
        <v>184</v>
      </c>
      <c r="S64" s="6" t="s">
        <v>78</v>
      </c>
      <c r="T64" s="7" t="s">
        <v>79</v>
      </c>
      <c r="U64" s="8" t="s">
        <v>61</v>
      </c>
      <c r="V64" s="8" t="s">
        <v>62</v>
      </c>
      <c r="W64" s="8" t="s">
        <v>63</v>
      </c>
      <c r="X64" s="8" t="s">
        <v>61</v>
      </c>
      <c r="Y64" s="8" t="s">
        <v>62</v>
      </c>
      <c r="Z64" s="8">
        <v>26671</v>
      </c>
      <c r="AA64" s="8">
        <v>200005426</v>
      </c>
      <c r="AB64" s="8">
        <v>140001941</v>
      </c>
      <c r="AC64" s="8" t="s">
        <v>52</v>
      </c>
      <c r="AD64" s="8" t="s">
        <v>52</v>
      </c>
      <c r="AE64" s="8" t="s">
        <v>64</v>
      </c>
      <c r="AF64" s="8" t="s">
        <v>65</v>
      </c>
      <c r="AG64" s="9" t="s">
        <v>66</v>
      </c>
      <c r="AH64" s="9" t="s">
        <v>66</v>
      </c>
      <c r="AI64" s="8" t="s">
        <v>52</v>
      </c>
      <c r="AJ64" s="8">
        <v>90443543</v>
      </c>
      <c r="AK64" s="8" t="s">
        <v>67</v>
      </c>
      <c r="AL64" s="8" t="s">
        <v>68</v>
      </c>
      <c r="AM64" s="8" t="s">
        <v>69</v>
      </c>
      <c r="AN64" s="8" t="s">
        <v>70</v>
      </c>
      <c r="AO64" s="8" t="s">
        <v>71</v>
      </c>
      <c r="AP64" s="8" t="s">
        <v>72</v>
      </c>
      <c r="AQ64" s="8" t="s">
        <v>61</v>
      </c>
      <c r="AR64" s="8" t="s">
        <v>62</v>
      </c>
      <c r="AS64" s="8" t="s">
        <v>73</v>
      </c>
      <c r="AT64" s="8" t="s">
        <v>73</v>
      </c>
      <c r="AU64" s="8" t="s">
        <v>61</v>
      </c>
      <c r="AV64" s="8" t="s">
        <v>74</v>
      </c>
    </row>
    <row r="65" spans="1:48" ht="15.6">
      <c r="A65" s="3">
        <v>64</v>
      </c>
      <c r="B65" s="4">
        <v>311490003398</v>
      </c>
      <c r="C65" s="4">
        <v>311601002768</v>
      </c>
      <c r="D65" s="4" t="s">
        <v>52</v>
      </c>
      <c r="E65" s="4" t="s">
        <v>49</v>
      </c>
      <c r="F65" s="4" t="s">
        <v>50</v>
      </c>
      <c r="G65" s="4" t="s">
        <v>51</v>
      </c>
      <c r="H65" s="4" t="s">
        <v>52</v>
      </c>
      <c r="I65" s="4" t="s">
        <v>53</v>
      </c>
      <c r="J65" s="4" t="s">
        <v>106</v>
      </c>
      <c r="K65" s="4" t="s">
        <v>107</v>
      </c>
      <c r="L65" s="4" t="s">
        <v>52</v>
      </c>
      <c r="M65" s="4" t="s">
        <v>55</v>
      </c>
      <c r="N65" s="5">
        <v>46069</v>
      </c>
      <c r="O65" s="5">
        <v>46054</v>
      </c>
      <c r="P65" s="4" t="s">
        <v>185</v>
      </c>
      <c r="Q65" s="4" t="s">
        <v>52</v>
      </c>
      <c r="R65" s="4" t="s">
        <v>52</v>
      </c>
      <c r="S65" s="6" t="s">
        <v>78</v>
      </c>
      <c r="T65" s="11" t="s">
        <v>79</v>
      </c>
      <c r="U65" s="8" t="s">
        <v>61</v>
      </c>
      <c r="V65" s="8" t="s">
        <v>62</v>
      </c>
      <c r="W65" s="8" t="s">
        <v>63</v>
      </c>
      <c r="X65" s="8" t="s">
        <v>61</v>
      </c>
      <c r="Y65" s="8" t="s">
        <v>62</v>
      </c>
      <c r="Z65" s="8">
        <v>26671</v>
      </c>
      <c r="AA65" s="8">
        <v>200005426</v>
      </c>
      <c r="AB65" s="8">
        <v>140001941</v>
      </c>
      <c r="AC65" s="8" t="s">
        <v>52</v>
      </c>
      <c r="AD65" s="8" t="s">
        <v>52</v>
      </c>
      <c r="AE65" s="8" t="s">
        <v>64</v>
      </c>
      <c r="AF65" s="8" t="s">
        <v>65</v>
      </c>
      <c r="AG65" s="14">
        <v>4151532</v>
      </c>
      <c r="AH65" s="9" t="s">
        <v>66</v>
      </c>
      <c r="AI65" s="8" t="s">
        <v>52</v>
      </c>
      <c r="AJ65" s="8">
        <v>90360815</v>
      </c>
      <c r="AK65" s="8" t="s">
        <v>67</v>
      </c>
      <c r="AL65" s="8" t="s">
        <v>68</v>
      </c>
      <c r="AM65" s="8" t="s">
        <v>69</v>
      </c>
      <c r="AN65" s="8" t="s">
        <v>70</v>
      </c>
      <c r="AO65" s="8" t="s">
        <v>71</v>
      </c>
      <c r="AP65" s="8" t="s">
        <v>72</v>
      </c>
      <c r="AQ65" s="8" t="s">
        <v>61</v>
      </c>
      <c r="AR65" s="8" t="s">
        <v>62</v>
      </c>
      <c r="AS65" s="8" t="s">
        <v>73</v>
      </c>
      <c r="AT65" s="8" t="s">
        <v>73</v>
      </c>
      <c r="AU65" s="8" t="s">
        <v>61</v>
      </c>
      <c r="AV65" s="8" t="s">
        <v>74</v>
      </c>
    </row>
    <row r="66" spans="1:48" ht="15.6">
      <c r="A66" s="3">
        <v>65</v>
      </c>
      <c r="B66" s="4">
        <v>311490003398</v>
      </c>
      <c r="C66" s="4">
        <v>311601002769</v>
      </c>
      <c r="D66" s="4" t="s">
        <v>52</v>
      </c>
      <c r="E66" s="4" t="s">
        <v>49</v>
      </c>
      <c r="F66" s="4" t="s">
        <v>50</v>
      </c>
      <c r="G66" s="4" t="s">
        <v>51</v>
      </c>
      <c r="H66" s="4" t="s">
        <v>52</v>
      </c>
      <c r="I66" s="4" t="s">
        <v>53</v>
      </c>
      <c r="J66" s="4" t="s">
        <v>106</v>
      </c>
      <c r="K66" s="4" t="s">
        <v>107</v>
      </c>
      <c r="L66" s="4" t="s">
        <v>52</v>
      </c>
      <c r="M66" s="4" t="s">
        <v>55</v>
      </c>
      <c r="N66" s="5">
        <v>46069</v>
      </c>
      <c r="O66" s="5">
        <v>46054</v>
      </c>
      <c r="P66" s="4" t="s">
        <v>186</v>
      </c>
      <c r="Q66" s="4"/>
      <c r="R66" s="4" t="s">
        <v>52</v>
      </c>
      <c r="S66" s="6" t="s">
        <v>78</v>
      </c>
      <c r="T66" s="11" t="s">
        <v>79</v>
      </c>
      <c r="U66" s="15" t="s">
        <v>61</v>
      </c>
      <c r="V66" s="15" t="s">
        <v>62</v>
      </c>
      <c r="W66" s="15" t="s">
        <v>52</v>
      </c>
      <c r="X66" s="15" t="s">
        <v>52</v>
      </c>
      <c r="Y66" s="15" t="s">
        <v>52</v>
      </c>
      <c r="Z66" s="15">
        <v>26671</v>
      </c>
      <c r="AA66" s="15">
        <v>200005426</v>
      </c>
      <c r="AB66" s="15">
        <v>140001941</v>
      </c>
      <c r="AC66" s="15" t="s">
        <v>52</v>
      </c>
      <c r="AD66" s="15" t="s">
        <v>52</v>
      </c>
      <c r="AE66" s="15" t="s">
        <v>64</v>
      </c>
      <c r="AF66" s="15" t="s">
        <v>65</v>
      </c>
      <c r="AG66" s="16">
        <v>3158559</v>
      </c>
      <c r="AH66" s="17" t="s">
        <v>66</v>
      </c>
      <c r="AI66" s="15" t="s">
        <v>52</v>
      </c>
      <c r="AJ66" s="15">
        <v>90378954</v>
      </c>
      <c r="AK66" s="15" t="s">
        <v>67</v>
      </c>
      <c r="AL66" s="15" t="s">
        <v>68</v>
      </c>
      <c r="AM66" s="15" t="s">
        <v>69</v>
      </c>
      <c r="AN66" s="15" t="s">
        <v>70</v>
      </c>
      <c r="AO66" s="15" t="s">
        <v>71</v>
      </c>
      <c r="AP66" s="15" t="s">
        <v>72</v>
      </c>
      <c r="AQ66" s="15" t="s">
        <v>61</v>
      </c>
      <c r="AR66" s="15" t="s">
        <v>62</v>
      </c>
      <c r="AS66" s="15" t="s">
        <v>73</v>
      </c>
      <c r="AT66" s="15" t="s">
        <v>73</v>
      </c>
      <c r="AU66" s="15" t="s">
        <v>61</v>
      </c>
      <c r="AV66" s="15" t="s">
        <v>74</v>
      </c>
    </row>
    <row r="67" spans="1:48" ht="15.6">
      <c r="A67" s="3">
        <v>66</v>
      </c>
      <c r="B67" s="4">
        <v>311490003398</v>
      </c>
      <c r="C67" s="4">
        <v>311202004696</v>
      </c>
      <c r="D67" s="4" t="s">
        <v>48</v>
      </c>
      <c r="E67" s="4" t="s">
        <v>49</v>
      </c>
      <c r="F67" s="4" t="s">
        <v>50</v>
      </c>
      <c r="G67" s="4" t="s">
        <v>51</v>
      </c>
      <c r="H67" s="4" t="s">
        <v>52</v>
      </c>
      <c r="I67" s="4" t="s">
        <v>53</v>
      </c>
      <c r="J67" s="4" t="s">
        <v>54</v>
      </c>
      <c r="K67" s="4" t="s">
        <v>54</v>
      </c>
      <c r="L67" s="4" t="s">
        <v>52</v>
      </c>
      <c r="M67" s="4" t="s">
        <v>55</v>
      </c>
      <c r="N67" s="5">
        <v>46069</v>
      </c>
      <c r="O67" s="5">
        <v>46054</v>
      </c>
      <c r="P67" s="4" t="s">
        <v>187</v>
      </c>
      <c r="Q67" s="4" t="s">
        <v>188</v>
      </c>
      <c r="R67" s="4" t="s">
        <v>189</v>
      </c>
      <c r="S67" s="6" t="s">
        <v>78</v>
      </c>
      <c r="T67" s="11" t="s">
        <v>79</v>
      </c>
      <c r="U67" s="8" t="s">
        <v>61</v>
      </c>
      <c r="V67" s="8" t="s">
        <v>62</v>
      </c>
      <c r="W67" s="8" t="s">
        <v>63</v>
      </c>
      <c r="X67" s="8" t="s">
        <v>61</v>
      </c>
      <c r="Y67" s="8" t="s">
        <v>62</v>
      </c>
      <c r="Z67" s="8">
        <v>26671</v>
      </c>
      <c r="AA67" s="8">
        <v>200005426</v>
      </c>
      <c r="AB67" s="8">
        <v>140001941</v>
      </c>
      <c r="AC67" s="8" t="s">
        <v>52</v>
      </c>
      <c r="AD67" s="8" t="s">
        <v>52</v>
      </c>
      <c r="AE67" s="8" t="s">
        <v>64</v>
      </c>
      <c r="AF67" s="8" t="s">
        <v>65</v>
      </c>
      <c r="AG67" s="9" t="s">
        <v>190</v>
      </c>
      <c r="AH67" s="9" t="s">
        <v>66</v>
      </c>
      <c r="AI67" s="8" t="s">
        <v>52</v>
      </c>
      <c r="AJ67" s="8">
        <v>90443546</v>
      </c>
      <c r="AK67" s="8" t="s">
        <v>67</v>
      </c>
      <c r="AL67" s="8" t="s">
        <v>68</v>
      </c>
      <c r="AM67" s="8" t="s">
        <v>69</v>
      </c>
      <c r="AN67" s="8" t="s">
        <v>70</v>
      </c>
      <c r="AO67" s="8" t="s">
        <v>71</v>
      </c>
      <c r="AP67" s="8" t="s">
        <v>72</v>
      </c>
      <c r="AQ67" s="8" t="s">
        <v>61</v>
      </c>
      <c r="AR67" s="8" t="s">
        <v>62</v>
      </c>
      <c r="AS67" s="8" t="s">
        <v>73</v>
      </c>
      <c r="AT67" s="8" t="s">
        <v>73</v>
      </c>
      <c r="AU67" s="8" t="s">
        <v>61</v>
      </c>
      <c r="AV67" s="8" t="s">
        <v>74</v>
      </c>
    </row>
    <row r="68" spans="1:48" ht="15.6">
      <c r="A68" s="3">
        <v>67</v>
      </c>
      <c r="B68" s="4">
        <v>311490003398</v>
      </c>
      <c r="C68" s="4">
        <v>311601002770</v>
      </c>
      <c r="D68" s="4" t="s">
        <v>52</v>
      </c>
      <c r="E68" s="4" t="s">
        <v>49</v>
      </c>
      <c r="F68" s="4" t="s">
        <v>50</v>
      </c>
      <c r="G68" s="4" t="s">
        <v>51</v>
      </c>
      <c r="H68" s="4" t="s">
        <v>52</v>
      </c>
      <c r="I68" s="4" t="s">
        <v>53</v>
      </c>
      <c r="J68" s="4" t="s">
        <v>106</v>
      </c>
      <c r="K68" s="4" t="s">
        <v>107</v>
      </c>
      <c r="L68" s="4" t="s">
        <v>52</v>
      </c>
      <c r="M68" s="4" t="s">
        <v>55</v>
      </c>
      <c r="N68" s="5">
        <v>46069</v>
      </c>
      <c r="O68" s="5">
        <v>46054</v>
      </c>
      <c r="P68" s="4" t="s">
        <v>191</v>
      </c>
      <c r="Q68" s="4"/>
      <c r="R68" s="4" t="s">
        <v>52</v>
      </c>
      <c r="S68" s="6" t="s">
        <v>78</v>
      </c>
      <c r="T68" s="7" t="s">
        <v>79</v>
      </c>
      <c r="U68" s="8" t="s">
        <v>61</v>
      </c>
      <c r="V68" s="8" t="s">
        <v>62</v>
      </c>
      <c r="W68" s="8" t="s">
        <v>52</v>
      </c>
      <c r="X68" s="8" t="s">
        <v>52</v>
      </c>
      <c r="Y68" s="8" t="s">
        <v>52</v>
      </c>
      <c r="Z68" s="8">
        <v>26671</v>
      </c>
      <c r="AA68" s="8">
        <v>200005426</v>
      </c>
      <c r="AB68" s="8">
        <v>140001941</v>
      </c>
      <c r="AC68" s="8" t="s">
        <v>52</v>
      </c>
      <c r="AD68" s="8" t="s">
        <v>52</v>
      </c>
      <c r="AE68" s="8" t="s">
        <v>64</v>
      </c>
      <c r="AF68" s="8" t="s">
        <v>65</v>
      </c>
      <c r="AG68" s="14">
        <v>18607153</v>
      </c>
      <c r="AH68" s="9" t="s">
        <v>66</v>
      </c>
      <c r="AI68" s="8">
        <v>0</v>
      </c>
      <c r="AJ68" s="8">
        <v>0</v>
      </c>
      <c r="AK68" s="8" t="s">
        <v>67</v>
      </c>
      <c r="AL68" s="8" t="s">
        <v>192</v>
      </c>
      <c r="AM68" s="8" t="s">
        <v>69</v>
      </c>
      <c r="AN68" s="8" t="s">
        <v>70</v>
      </c>
      <c r="AO68" s="8" t="s">
        <v>71</v>
      </c>
      <c r="AP68" s="8" t="s">
        <v>72</v>
      </c>
      <c r="AQ68" s="8" t="s">
        <v>61</v>
      </c>
      <c r="AR68" s="8" t="s">
        <v>62</v>
      </c>
      <c r="AS68" s="8" t="s">
        <v>73</v>
      </c>
      <c r="AT68" s="8" t="s">
        <v>73</v>
      </c>
      <c r="AU68" s="8" t="s">
        <v>61</v>
      </c>
      <c r="AV68" s="8" t="s">
        <v>74</v>
      </c>
    </row>
    <row r="69" spans="1:48" ht="15.6">
      <c r="A69" s="3">
        <v>68</v>
      </c>
      <c r="B69" s="4">
        <v>311490003398</v>
      </c>
      <c r="C69" s="4">
        <v>311401002730</v>
      </c>
      <c r="D69" s="4" t="s">
        <v>48</v>
      </c>
      <c r="E69" s="4" t="s">
        <v>49</v>
      </c>
      <c r="F69" s="4" t="s">
        <v>50</v>
      </c>
      <c r="G69" s="4" t="s">
        <v>51</v>
      </c>
      <c r="H69" s="4" t="s">
        <v>52</v>
      </c>
      <c r="I69" s="4" t="s">
        <v>53</v>
      </c>
      <c r="J69" s="4" t="s">
        <v>193</v>
      </c>
      <c r="K69" s="4" t="s">
        <v>194</v>
      </c>
      <c r="L69" s="4" t="s">
        <v>52</v>
      </c>
      <c r="M69" s="4" t="s">
        <v>55</v>
      </c>
      <c r="N69" s="5">
        <v>46069</v>
      </c>
      <c r="O69" s="5">
        <v>46054</v>
      </c>
      <c r="P69" s="4" t="s">
        <v>63</v>
      </c>
      <c r="Q69" s="4" t="s">
        <v>188</v>
      </c>
      <c r="R69" s="4" t="s">
        <v>195</v>
      </c>
      <c r="S69" s="6" t="s">
        <v>78</v>
      </c>
      <c r="T69" s="7" t="s">
        <v>79</v>
      </c>
      <c r="U69" s="8" t="s">
        <v>61</v>
      </c>
      <c r="V69" s="8" t="s">
        <v>62</v>
      </c>
      <c r="W69" s="8" t="s">
        <v>52</v>
      </c>
      <c r="X69" s="8" t="s">
        <v>52</v>
      </c>
      <c r="Y69" s="8" t="s">
        <v>52</v>
      </c>
      <c r="Z69" s="8">
        <v>26671</v>
      </c>
      <c r="AA69" s="8">
        <v>200005426</v>
      </c>
      <c r="AB69" s="8">
        <v>140001941</v>
      </c>
      <c r="AC69" s="8" t="s">
        <v>52</v>
      </c>
      <c r="AD69" s="8" t="s">
        <v>52</v>
      </c>
      <c r="AE69" s="8" t="s">
        <v>64</v>
      </c>
      <c r="AF69" s="8" t="s">
        <v>65</v>
      </c>
      <c r="AG69" s="14">
        <v>4144595</v>
      </c>
      <c r="AH69" s="9" t="s">
        <v>66</v>
      </c>
      <c r="AI69" s="8" t="s">
        <v>52</v>
      </c>
      <c r="AJ69" s="8">
        <v>90378201</v>
      </c>
      <c r="AK69" s="8" t="s">
        <v>67</v>
      </c>
      <c r="AL69" s="8" t="s">
        <v>68</v>
      </c>
      <c r="AM69" s="8" t="s">
        <v>69</v>
      </c>
      <c r="AN69" s="8" t="s">
        <v>70</v>
      </c>
      <c r="AO69" s="8" t="s">
        <v>71</v>
      </c>
      <c r="AP69" s="8" t="s">
        <v>72</v>
      </c>
      <c r="AQ69" s="8" t="s">
        <v>61</v>
      </c>
      <c r="AR69" s="8" t="s">
        <v>62</v>
      </c>
      <c r="AS69" s="8" t="s">
        <v>73</v>
      </c>
      <c r="AT69" s="8" t="s">
        <v>73</v>
      </c>
      <c r="AU69" s="8" t="s">
        <v>61</v>
      </c>
      <c r="AV69" s="8" t="s">
        <v>74</v>
      </c>
    </row>
    <row r="70" spans="1:48" ht="15.6">
      <c r="A70" s="3">
        <v>69</v>
      </c>
      <c r="B70" s="4">
        <v>311490003398</v>
      </c>
      <c r="C70" s="4">
        <v>311601002771</v>
      </c>
      <c r="D70" s="4" t="s">
        <v>52</v>
      </c>
      <c r="E70" s="4" t="s">
        <v>49</v>
      </c>
      <c r="F70" s="4" t="s">
        <v>50</v>
      </c>
      <c r="G70" s="4" t="s">
        <v>51</v>
      </c>
      <c r="H70" s="4" t="s">
        <v>52</v>
      </c>
      <c r="I70" s="4" t="s">
        <v>53</v>
      </c>
      <c r="J70" s="4" t="s">
        <v>106</v>
      </c>
      <c r="K70" s="4" t="s">
        <v>107</v>
      </c>
      <c r="L70" s="4" t="s">
        <v>52</v>
      </c>
      <c r="M70" s="4" t="s">
        <v>55</v>
      </c>
      <c r="N70" s="5">
        <v>46069</v>
      </c>
      <c r="O70" s="5">
        <v>46054</v>
      </c>
      <c r="P70" s="4" t="s">
        <v>196</v>
      </c>
      <c r="Q70" s="4"/>
      <c r="R70" s="4" t="s">
        <v>52</v>
      </c>
      <c r="S70" s="6" t="s">
        <v>78</v>
      </c>
      <c r="T70" s="7" t="s">
        <v>79</v>
      </c>
      <c r="U70" s="15" t="s">
        <v>61</v>
      </c>
      <c r="V70" s="15" t="s">
        <v>62</v>
      </c>
      <c r="W70" s="15" t="s">
        <v>52</v>
      </c>
      <c r="X70" s="15" t="s">
        <v>52</v>
      </c>
      <c r="Y70" s="15" t="s">
        <v>52</v>
      </c>
      <c r="Z70" s="15">
        <v>26671</v>
      </c>
      <c r="AA70" s="15">
        <v>200005426</v>
      </c>
      <c r="AB70" s="15">
        <v>140001941</v>
      </c>
      <c r="AC70" s="15" t="s">
        <v>52</v>
      </c>
      <c r="AD70" s="15" t="s">
        <v>52</v>
      </c>
      <c r="AE70" s="15" t="s">
        <v>64</v>
      </c>
      <c r="AF70" s="15" t="s">
        <v>65</v>
      </c>
      <c r="AG70" s="16">
        <v>4970991</v>
      </c>
      <c r="AH70" s="17" t="s">
        <v>66</v>
      </c>
      <c r="AI70" s="15" t="s">
        <v>52</v>
      </c>
      <c r="AJ70" s="15">
        <v>90448224</v>
      </c>
      <c r="AK70" s="15" t="s">
        <v>67</v>
      </c>
      <c r="AL70" s="15" t="s">
        <v>68</v>
      </c>
      <c r="AM70" s="15" t="s">
        <v>69</v>
      </c>
      <c r="AN70" s="15" t="s">
        <v>70</v>
      </c>
      <c r="AO70" s="15" t="s">
        <v>71</v>
      </c>
      <c r="AP70" s="15" t="s">
        <v>72</v>
      </c>
      <c r="AQ70" s="15" t="s">
        <v>61</v>
      </c>
      <c r="AR70" s="15" t="s">
        <v>62</v>
      </c>
      <c r="AS70" s="15" t="s">
        <v>73</v>
      </c>
      <c r="AT70" s="15" t="s">
        <v>73</v>
      </c>
      <c r="AU70" s="15" t="s">
        <v>61</v>
      </c>
      <c r="AV70" s="15" t="s">
        <v>74</v>
      </c>
    </row>
    <row r="71" spans="1:48" ht="15.6">
      <c r="A71" s="3">
        <v>70</v>
      </c>
      <c r="B71" s="4">
        <v>311490003398</v>
      </c>
      <c r="C71" s="4">
        <v>311601002772</v>
      </c>
      <c r="D71" s="4" t="s">
        <v>52</v>
      </c>
      <c r="E71" s="4" t="s">
        <v>49</v>
      </c>
      <c r="F71" s="4" t="s">
        <v>50</v>
      </c>
      <c r="G71" s="4" t="s">
        <v>51</v>
      </c>
      <c r="H71" s="4" t="s">
        <v>52</v>
      </c>
      <c r="I71" s="4" t="s">
        <v>53</v>
      </c>
      <c r="J71" s="4" t="s">
        <v>106</v>
      </c>
      <c r="K71" s="4" t="s">
        <v>107</v>
      </c>
      <c r="L71" s="4" t="s">
        <v>52</v>
      </c>
      <c r="M71" s="4" t="s">
        <v>55</v>
      </c>
      <c r="N71" s="5">
        <v>46069</v>
      </c>
      <c r="O71" s="5">
        <v>46054</v>
      </c>
      <c r="P71" s="4" t="s">
        <v>197</v>
      </c>
      <c r="Q71" s="4"/>
      <c r="R71" s="4" t="s">
        <v>52</v>
      </c>
      <c r="S71" s="6" t="s">
        <v>78</v>
      </c>
      <c r="T71" s="7" t="s">
        <v>79</v>
      </c>
      <c r="U71" s="15" t="s">
        <v>61</v>
      </c>
      <c r="V71" s="15" t="s">
        <v>62</v>
      </c>
      <c r="W71" s="15" t="s">
        <v>52</v>
      </c>
      <c r="X71" s="15" t="s">
        <v>52</v>
      </c>
      <c r="Y71" s="15" t="s">
        <v>52</v>
      </c>
      <c r="Z71" s="15">
        <v>26671</v>
      </c>
      <c r="AA71" s="15">
        <v>200005426</v>
      </c>
      <c r="AB71" s="15">
        <v>140001941</v>
      </c>
      <c r="AC71" s="15" t="s">
        <v>52</v>
      </c>
      <c r="AD71" s="15" t="s">
        <v>52</v>
      </c>
      <c r="AE71" s="15" t="s">
        <v>64</v>
      </c>
      <c r="AF71" s="15" t="s">
        <v>65</v>
      </c>
      <c r="AG71" s="16">
        <v>3097117</v>
      </c>
      <c r="AH71" s="17" t="s">
        <v>66</v>
      </c>
      <c r="AI71" s="15" t="s">
        <v>52</v>
      </c>
      <c r="AJ71" s="15">
        <v>90362616</v>
      </c>
      <c r="AK71" s="15" t="s">
        <v>67</v>
      </c>
      <c r="AL71" s="15" t="s">
        <v>68</v>
      </c>
      <c r="AM71" s="15" t="s">
        <v>69</v>
      </c>
      <c r="AN71" s="15" t="s">
        <v>70</v>
      </c>
      <c r="AO71" s="15" t="s">
        <v>71</v>
      </c>
      <c r="AP71" s="15" t="s">
        <v>72</v>
      </c>
      <c r="AQ71" s="15" t="s">
        <v>61</v>
      </c>
      <c r="AR71" s="15" t="s">
        <v>62</v>
      </c>
      <c r="AS71" s="15" t="s">
        <v>73</v>
      </c>
      <c r="AT71" s="15" t="s">
        <v>73</v>
      </c>
      <c r="AU71" s="15" t="s">
        <v>61</v>
      </c>
      <c r="AV71" s="15" t="s">
        <v>74</v>
      </c>
    </row>
    <row r="72" spans="1:48" ht="15.6">
      <c r="A72" s="3">
        <v>71</v>
      </c>
      <c r="B72" s="4">
        <v>311490003398</v>
      </c>
      <c r="C72" s="4">
        <v>311202004671</v>
      </c>
      <c r="D72" s="4" t="s">
        <v>48</v>
      </c>
      <c r="E72" s="4" t="s">
        <v>49</v>
      </c>
      <c r="F72" s="4" t="s">
        <v>50</v>
      </c>
      <c r="G72" s="4" t="s">
        <v>51</v>
      </c>
      <c r="H72" s="4" t="s">
        <v>52</v>
      </c>
      <c r="I72" s="4" t="s">
        <v>53</v>
      </c>
      <c r="J72" s="4" t="s">
        <v>54</v>
      </c>
      <c r="K72" s="4" t="s">
        <v>54</v>
      </c>
      <c r="L72" s="4" t="s">
        <v>52</v>
      </c>
      <c r="M72" s="4" t="s">
        <v>55</v>
      </c>
      <c r="N72" s="5">
        <v>46069</v>
      </c>
      <c r="O72" s="5">
        <v>46054</v>
      </c>
      <c r="P72" s="4" t="s">
        <v>198</v>
      </c>
      <c r="Q72" s="4" t="s">
        <v>76</v>
      </c>
      <c r="R72" s="4" t="s">
        <v>199</v>
      </c>
      <c r="S72" s="6" t="s">
        <v>78</v>
      </c>
      <c r="T72" s="7" t="s">
        <v>79</v>
      </c>
      <c r="U72" s="8" t="s">
        <v>61</v>
      </c>
      <c r="V72" s="8" t="s">
        <v>62</v>
      </c>
      <c r="W72" s="8" t="s">
        <v>63</v>
      </c>
      <c r="X72" s="8" t="s">
        <v>61</v>
      </c>
      <c r="Y72" s="8" t="s">
        <v>62</v>
      </c>
      <c r="Z72" s="8">
        <v>26671</v>
      </c>
      <c r="AA72" s="8">
        <v>200005426</v>
      </c>
      <c r="AB72" s="8">
        <v>140001941</v>
      </c>
      <c r="AC72" s="8" t="s">
        <v>52</v>
      </c>
      <c r="AD72" s="8" t="s">
        <v>52</v>
      </c>
      <c r="AE72" s="8" t="s">
        <v>64</v>
      </c>
      <c r="AF72" s="8" t="s">
        <v>65</v>
      </c>
      <c r="AG72" s="9" t="s">
        <v>66</v>
      </c>
      <c r="AH72" s="9" t="s">
        <v>66</v>
      </c>
      <c r="AI72" s="8" t="s">
        <v>52</v>
      </c>
      <c r="AJ72" s="8">
        <v>90415458</v>
      </c>
      <c r="AK72" s="8" t="s">
        <v>67</v>
      </c>
      <c r="AL72" s="8" t="s">
        <v>68</v>
      </c>
      <c r="AM72" s="8" t="s">
        <v>69</v>
      </c>
      <c r="AN72" s="8" t="s">
        <v>70</v>
      </c>
      <c r="AO72" s="8" t="s">
        <v>71</v>
      </c>
      <c r="AP72" s="8" t="s">
        <v>72</v>
      </c>
      <c r="AQ72" s="8" t="s">
        <v>61</v>
      </c>
      <c r="AR72" s="8" t="s">
        <v>62</v>
      </c>
      <c r="AS72" s="8" t="s">
        <v>73</v>
      </c>
      <c r="AT72" s="8" t="s">
        <v>73</v>
      </c>
      <c r="AU72" s="8" t="s">
        <v>61</v>
      </c>
      <c r="AV72" s="8" t="s">
        <v>74</v>
      </c>
    </row>
    <row r="73" spans="1:48" ht="15.6">
      <c r="A73" s="3">
        <v>10</v>
      </c>
      <c r="B73" s="4">
        <v>311490003398</v>
      </c>
      <c r="C73" s="4">
        <v>311202004672</v>
      </c>
      <c r="D73" s="4" t="s">
        <v>48</v>
      </c>
      <c r="E73" s="4" t="s">
        <v>49</v>
      </c>
      <c r="F73" s="4" t="s">
        <v>50</v>
      </c>
      <c r="G73" s="4" t="s">
        <v>51</v>
      </c>
      <c r="H73" s="4" t="s">
        <v>52</v>
      </c>
      <c r="I73" s="4" t="s">
        <v>53</v>
      </c>
      <c r="J73" s="4" t="s">
        <v>54</v>
      </c>
      <c r="K73" s="4" t="s">
        <v>54</v>
      </c>
      <c r="L73" s="4" t="s">
        <v>52</v>
      </c>
      <c r="M73" s="4" t="s">
        <v>55</v>
      </c>
      <c r="N73" s="5">
        <v>46069</v>
      </c>
      <c r="O73" s="5">
        <v>46054</v>
      </c>
      <c r="P73" s="4" t="s">
        <v>200</v>
      </c>
      <c r="Q73" s="4" t="s">
        <v>188</v>
      </c>
      <c r="R73" s="4" t="s">
        <v>184</v>
      </c>
      <c r="S73" s="6" t="s">
        <v>59</v>
      </c>
      <c r="T73" s="7" t="s">
        <v>147</v>
      </c>
      <c r="U73" s="8" t="s">
        <v>61</v>
      </c>
      <c r="V73" s="8" t="s">
        <v>62</v>
      </c>
      <c r="W73" s="8" t="s">
        <v>63</v>
      </c>
      <c r="X73" s="8" t="s">
        <v>61</v>
      </c>
      <c r="Y73" s="8" t="s">
        <v>62</v>
      </c>
      <c r="Z73" s="8">
        <v>26671</v>
      </c>
      <c r="AA73" s="8">
        <v>200005426</v>
      </c>
      <c r="AB73" s="8">
        <v>140001941</v>
      </c>
      <c r="AC73" s="8" t="s">
        <v>52</v>
      </c>
      <c r="AD73" s="8" t="s">
        <v>52</v>
      </c>
      <c r="AE73" s="8" t="s">
        <v>64</v>
      </c>
      <c r="AF73" s="8" t="s">
        <v>65</v>
      </c>
      <c r="AG73" s="9" t="s">
        <v>66</v>
      </c>
      <c r="AH73" s="9" t="s">
        <v>66</v>
      </c>
      <c r="AI73" s="8" t="s">
        <v>52</v>
      </c>
      <c r="AJ73" s="8">
        <v>90428102</v>
      </c>
      <c r="AK73" s="8" t="s">
        <v>67</v>
      </c>
      <c r="AL73" s="8" t="s">
        <v>68</v>
      </c>
      <c r="AM73" s="8" t="s">
        <v>69</v>
      </c>
      <c r="AN73" s="8" t="s">
        <v>70</v>
      </c>
      <c r="AO73" s="8" t="s">
        <v>71</v>
      </c>
      <c r="AP73" s="8" t="s">
        <v>72</v>
      </c>
      <c r="AQ73" s="8" t="s">
        <v>61</v>
      </c>
      <c r="AR73" s="8" t="s">
        <v>62</v>
      </c>
      <c r="AS73" s="8" t="s">
        <v>73</v>
      </c>
      <c r="AT73" s="8" t="s">
        <v>73</v>
      </c>
      <c r="AU73" s="8" t="s">
        <v>61</v>
      </c>
      <c r="AV73" s="8" t="s">
        <v>74</v>
      </c>
    </row>
    <row r="74" spans="1:48" ht="15.6">
      <c r="A74" s="3">
        <v>11</v>
      </c>
      <c r="B74" s="4">
        <v>311490003398</v>
      </c>
      <c r="C74" s="4">
        <v>311202004673</v>
      </c>
      <c r="D74" s="4" t="s">
        <v>48</v>
      </c>
      <c r="E74" s="4" t="s">
        <v>49</v>
      </c>
      <c r="F74" s="4" t="s">
        <v>50</v>
      </c>
      <c r="G74" s="4" t="s">
        <v>51</v>
      </c>
      <c r="H74" s="4" t="s">
        <v>52</v>
      </c>
      <c r="I74" s="4" t="s">
        <v>53</v>
      </c>
      <c r="J74" s="4" t="s">
        <v>54</v>
      </c>
      <c r="K74" s="4" t="s">
        <v>54</v>
      </c>
      <c r="L74" s="4" t="s">
        <v>52</v>
      </c>
      <c r="M74" s="4" t="s">
        <v>55</v>
      </c>
      <c r="N74" s="5">
        <v>46069</v>
      </c>
      <c r="O74" s="5">
        <v>46054</v>
      </c>
      <c r="P74" s="4" t="s">
        <v>201</v>
      </c>
      <c r="Q74" s="18" t="s">
        <v>109</v>
      </c>
      <c r="R74" s="4" t="s">
        <v>202</v>
      </c>
      <c r="S74" s="6" t="s">
        <v>59</v>
      </c>
      <c r="T74" s="7" t="s">
        <v>60</v>
      </c>
      <c r="U74" s="8" t="s">
        <v>61</v>
      </c>
      <c r="V74" s="8" t="s">
        <v>62</v>
      </c>
      <c r="W74" s="8" t="s">
        <v>63</v>
      </c>
      <c r="X74" s="8" t="s">
        <v>61</v>
      </c>
      <c r="Y74" s="8" t="s">
        <v>62</v>
      </c>
      <c r="Z74" s="8">
        <v>26671</v>
      </c>
      <c r="AA74" s="8">
        <v>200005426</v>
      </c>
      <c r="AB74" s="8">
        <v>140001941</v>
      </c>
      <c r="AC74" s="8" t="s">
        <v>52</v>
      </c>
      <c r="AD74" s="8" t="s">
        <v>52</v>
      </c>
      <c r="AE74" s="8" t="s">
        <v>64</v>
      </c>
      <c r="AF74" s="8" t="s">
        <v>65</v>
      </c>
      <c r="AG74" s="9" t="s">
        <v>66</v>
      </c>
      <c r="AH74" s="9" t="s">
        <v>66</v>
      </c>
      <c r="AI74" s="8" t="s">
        <v>52</v>
      </c>
      <c r="AJ74" s="8">
        <v>90460019</v>
      </c>
      <c r="AK74" s="8" t="s">
        <v>67</v>
      </c>
      <c r="AL74" s="8" t="s">
        <v>68</v>
      </c>
      <c r="AM74" s="8" t="s">
        <v>69</v>
      </c>
      <c r="AN74" s="8" t="s">
        <v>70</v>
      </c>
      <c r="AO74" s="8" t="s">
        <v>71</v>
      </c>
      <c r="AP74" s="8" t="s">
        <v>72</v>
      </c>
      <c r="AQ74" s="8" t="s">
        <v>61</v>
      </c>
      <c r="AR74" s="8" t="s">
        <v>62</v>
      </c>
      <c r="AS74" s="8" t="s">
        <v>73</v>
      </c>
      <c r="AT74" s="8" t="s">
        <v>73</v>
      </c>
      <c r="AU74" s="8" t="s">
        <v>61</v>
      </c>
      <c r="AV74" s="8" t="s">
        <v>74</v>
      </c>
    </row>
    <row r="75" spans="1:48" ht="15.6">
      <c r="A75" s="3">
        <v>12</v>
      </c>
      <c r="B75" s="4">
        <v>311490003398</v>
      </c>
      <c r="C75" s="4">
        <v>311202004674</v>
      </c>
      <c r="D75" s="4" t="s">
        <v>48</v>
      </c>
      <c r="E75" s="4" t="s">
        <v>49</v>
      </c>
      <c r="F75" s="4" t="s">
        <v>50</v>
      </c>
      <c r="G75" s="4" t="s">
        <v>51</v>
      </c>
      <c r="H75" s="4" t="s">
        <v>52</v>
      </c>
      <c r="I75" s="4" t="s">
        <v>53</v>
      </c>
      <c r="J75" s="4" t="s">
        <v>54</v>
      </c>
      <c r="K75" s="4" t="s">
        <v>54</v>
      </c>
      <c r="L75" s="4" t="s">
        <v>52</v>
      </c>
      <c r="M75" s="4" t="s">
        <v>55</v>
      </c>
      <c r="N75" s="5">
        <v>46069</v>
      </c>
      <c r="O75" s="5">
        <v>46054</v>
      </c>
      <c r="P75" s="4" t="s">
        <v>203</v>
      </c>
      <c r="Q75" s="18" t="s">
        <v>204</v>
      </c>
      <c r="R75" s="4" t="s">
        <v>205</v>
      </c>
      <c r="S75" s="6" t="s">
        <v>59</v>
      </c>
      <c r="T75" s="7" t="s">
        <v>60</v>
      </c>
      <c r="U75" s="8" t="s">
        <v>61</v>
      </c>
      <c r="V75" s="8" t="s">
        <v>62</v>
      </c>
      <c r="W75" s="8" t="s">
        <v>63</v>
      </c>
      <c r="X75" s="8" t="s">
        <v>61</v>
      </c>
      <c r="Y75" s="8" t="s">
        <v>62</v>
      </c>
      <c r="Z75" s="8">
        <v>26671</v>
      </c>
      <c r="AA75" s="8">
        <v>200005426</v>
      </c>
      <c r="AB75" s="8">
        <v>140001941</v>
      </c>
      <c r="AC75" s="8" t="s">
        <v>52</v>
      </c>
      <c r="AD75" s="8" t="s">
        <v>52</v>
      </c>
      <c r="AE75" s="8" t="s">
        <v>64</v>
      </c>
      <c r="AF75" s="8" t="s">
        <v>65</v>
      </c>
      <c r="AG75" s="9" t="s">
        <v>66</v>
      </c>
      <c r="AH75" s="9" t="s">
        <v>66</v>
      </c>
      <c r="AI75" s="8" t="s">
        <v>52</v>
      </c>
      <c r="AJ75" s="8">
        <v>90360139</v>
      </c>
      <c r="AK75" s="8" t="s">
        <v>67</v>
      </c>
      <c r="AL75" s="8" t="s">
        <v>68</v>
      </c>
      <c r="AM75" s="8" t="s">
        <v>69</v>
      </c>
      <c r="AN75" s="8" t="s">
        <v>70</v>
      </c>
      <c r="AO75" s="8" t="s">
        <v>71</v>
      </c>
      <c r="AP75" s="8" t="s">
        <v>72</v>
      </c>
      <c r="AQ75" s="8" t="s">
        <v>61</v>
      </c>
      <c r="AR75" s="8" t="s">
        <v>62</v>
      </c>
      <c r="AS75" s="8" t="s">
        <v>73</v>
      </c>
      <c r="AT75" s="8" t="s">
        <v>73</v>
      </c>
      <c r="AU75" s="8" t="s">
        <v>61</v>
      </c>
      <c r="AV75" s="8" t="s">
        <v>74</v>
      </c>
    </row>
    <row r="76" spans="1:48" ht="15.6">
      <c r="A76" s="3">
        <v>13</v>
      </c>
      <c r="B76" s="4">
        <v>311490003398</v>
      </c>
      <c r="C76" s="4">
        <v>311202004675</v>
      </c>
      <c r="D76" s="4" t="s">
        <v>48</v>
      </c>
      <c r="E76" s="4" t="s">
        <v>49</v>
      </c>
      <c r="F76" s="4" t="s">
        <v>50</v>
      </c>
      <c r="G76" s="4" t="s">
        <v>51</v>
      </c>
      <c r="H76" s="4" t="s">
        <v>52</v>
      </c>
      <c r="I76" s="4" t="s">
        <v>53</v>
      </c>
      <c r="J76" s="4" t="s">
        <v>54</v>
      </c>
      <c r="K76" s="4" t="s">
        <v>54</v>
      </c>
      <c r="L76" s="4" t="s">
        <v>52</v>
      </c>
      <c r="M76" s="4" t="s">
        <v>55</v>
      </c>
      <c r="N76" s="5">
        <v>46069</v>
      </c>
      <c r="O76" s="5">
        <v>46054</v>
      </c>
      <c r="P76" s="4" t="s">
        <v>206</v>
      </c>
      <c r="Q76" s="18" t="s">
        <v>109</v>
      </c>
      <c r="R76" s="4" t="s">
        <v>207</v>
      </c>
      <c r="S76" s="6" t="s">
        <v>59</v>
      </c>
      <c r="T76" s="7" t="s">
        <v>60</v>
      </c>
      <c r="U76" s="8" t="s">
        <v>61</v>
      </c>
      <c r="V76" s="8" t="s">
        <v>62</v>
      </c>
      <c r="W76" s="8" t="s">
        <v>63</v>
      </c>
      <c r="X76" s="8" t="s">
        <v>61</v>
      </c>
      <c r="Y76" s="8" t="s">
        <v>62</v>
      </c>
      <c r="Z76" s="8">
        <v>26671</v>
      </c>
      <c r="AA76" s="8">
        <v>200005426</v>
      </c>
      <c r="AB76" s="8">
        <v>140001941</v>
      </c>
      <c r="AC76" s="8" t="s">
        <v>52</v>
      </c>
      <c r="AD76" s="8" t="s">
        <v>52</v>
      </c>
      <c r="AE76" s="8" t="s">
        <v>64</v>
      </c>
      <c r="AF76" s="8" t="s">
        <v>65</v>
      </c>
      <c r="AG76" s="9" t="s">
        <v>66</v>
      </c>
      <c r="AH76" s="9" t="s">
        <v>66</v>
      </c>
      <c r="AI76" s="8" t="s">
        <v>52</v>
      </c>
      <c r="AJ76" s="8">
        <v>90460021</v>
      </c>
      <c r="AK76" s="8" t="s">
        <v>67</v>
      </c>
      <c r="AL76" s="8" t="s">
        <v>68</v>
      </c>
      <c r="AM76" s="8" t="s">
        <v>69</v>
      </c>
      <c r="AN76" s="8" t="s">
        <v>70</v>
      </c>
      <c r="AO76" s="8" t="s">
        <v>71</v>
      </c>
      <c r="AP76" s="8" t="s">
        <v>72</v>
      </c>
      <c r="AQ76" s="8" t="s">
        <v>61</v>
      </c>
      <c r="AR76" s="8" t="s">
        <v>62</v>
      </c>
      <c r="AS76" s="8" t="s">
        <v>73</v>
      </c>
      <c r="AT76" s="8" t="s">
        <v>73</v>
      </c>
      <c r="AU76" s="8" t="s">
        <v>61</v>
      </c>
      <c r="AV76" s="8" t="s">
        <v>74</v>
      </c>
    </row>
    <row r="77" spans="1:48" ht="15.6">
      <c r="A77" s="3">
        <v>14</v>
      </c>
      <c r="B77" s="4">
        <v>311490003398</v>
      </c>
      <c r="C77" s="4">
        <v>311202004676</v>
      </c>
      <c r="D77" s="4" t="s">
        <v>48</v>
      </c>
      <c r="E77" s="4" t="s">
        <v>49</v>
      </c>
      <c r="F77" s="4" t="s">
        <v>50</v>
      </c>
      <c r="G77" s="4" t="s">
        <v>51</v>
      </c>
      <c r="H77" s="4" t="s">
        <v>52</v>
      </c>
      <c r="I77" s="4" t="s">
        <v>53</v>
      </c>
      <c r="J77" s="4" t="s">
        <v>54</v>
      </c>
      <c r="K77" s="4" t="s">
        <v>54</v>
      </c>
      <c r="L77" s="4" t="s">
        <v>52</v>
      </c>
      <c r="M77" s="4" t="s">
        <v>55</v>
      </c>
      <c r="N77" s="5">
        <v>46069</v>
      </c>
      <c r="O77" s="5">
        <v>46054</v>
      </c>
      <c r="P77" s="4" t="s">
        <v>208</v>
      </c>
      <c r="Q77" s="18" t="s">
        <v>109</v>
      </c>
      <c r="R77" s="4" t="s">
        <v>110</v>
      </c>
      <c r="S77" s="6" t="s">
        <v>59</v>
      </c>
      <c r="T77" s="7" t="s">
        <v>60</v>
      </c>
      <c r="U77" s="8" t="s">
        <v>61</v>
      </c>
      <c r="V77" s="8" t="s">
        <v>62</v>
      </c>
      <c r="W77" s="8" t="s">
        <v>63</v>
      </c>
      <c r="X77" s="8" t="s">
        <v>61</v>
      </c>
      <c r="Y77" s="8" t="s">
        <v>62</v>
      </c>
      <c r="Z77" s="8">
        <v>26671</v>
      </c>
      <c r="AA77" s="8">
        <v>200005426</v>
      </c>
      <c r="AB77" s="8">
        <v>140001941</v>
      </c>
      <c r="AC77" s="8" t="s">
        <v>52</v>
      </c>
      <c r="AD77" s="8" t="s">
        <v>52</v>
      </c>
      <c r="AE77" s="8" t="s">
        <v>64</v>
      </c>
      <c r="AF77" s="8" t="s">
        <v>65</v>
      </c>
      <c r="AG77" s="9" t="s">
        <v>66</v>
      </c>
      <c r="AH77" s="9" t="s">
        <v>66</v>
      </c>
      <c r="AI77" s="8" t="s">
        <v>52</v>
      </c>
      <c r="AJ77" s="8">
        <v>90460023</v>
      </c>
      <c r="AK77" s="8" t="s">
        <v>67</v>
      </c>
      <c r="AL77" s="8" t="s">
        <v>68</v>
      </c>
      <c r="AM77" s="8" t="s">
        <v>69</v>
      </c>
      <c r="AN77" s="8" t="s">
        <v>70</v>
      </c>
      <c r="AO77" s="8" t="s">
        <v>71</v>
      </c>
      <c r="AP77" s="8" t="s">
        <v>72</v>
      </c>
      <c r="AQ77" s="8" t="s">
        <v>61</v>
      </c>
      <c r="AR77" s="8" t="s">
        <v>62</v>
      </c>
      <c r="AS77" s="8" t="s">
        <v>73</v>
      </c>
      <c r="AT77" s="8" t="s">
        <v>73</v>
      </c>
      <c r="AU77" s="8" t="s">
        <v>61</v>
      </c>
      <c r="AV77" s="8" t="s">
        <v>74</v>
      </c>
    </row>
    <row r="78" spans="1:48" ht="15.6">
      <c r="A78" s="3">
        <v>77</v>
      </c>
      <c r="B78" s="4">
        <v>311490003398</v>
      </c>
      <c r="C78" s="4">
        <v>311202004677</v>
      </c>
      <c r="D78" s="4" t="s">
        <v>48</v>
      </c>
      <c r="E78" s="4" t="s">
        <v>49</v>
      </c>
      <c r="F78" s="4" t="s">
        <v>50</v>
      </c>
      <c r="G78" s="4" t="s">
        <v>51</v>
      </c>
      <c r="H78" s="4" t="s">
        <v>52</v>
      </c>
      <c r="I78" s="4" t="s">
        <v>53</v>
      </c>
      <c r="J78" s="4" t="s">
        <v>54</v>
      </c>
      <c r="K78" s="4" t="s">
        <v>54</v>
      </c>
      <c r="L78" s="4" t="s">
        <v>52</v>
      </c>
      <c r="M78" s="4" t="s">
        <v>55</v>
      </c>
      <c r="N78" s="5">
        <v>46069</v>
      </c>
      <c r="O78" s="5">
        <v>46054</v>
      </c>
      <c r="P78" s="4" t="s">
        <v>209</v>
      </c>
      <c r="Q78" s="4" t="s">
        <v>57</v>
      </c>
      <c r="R78" s="4" t="s">
        <v>210</v>
      </c>
      <c r="S78" s="6" t="s">
        <v>78</v>
      </c>
      <c r="T78" s="7" t="s">
        <v>79</v>
      </c>
      <c r="U78" s="8" t="s">
        <v>61</v>
      </c>
      <c r="V78" s="8" t="s">
        <v>62</v>
      </c>
      <c r="W78" s="8" t="s">
        <v>63</v>
      </c>
      <c r="X78" s="8" t="s">
        <v>61</v>
      </c>
      <c r="Y78" s="8" t="s">
        <v>62</v>
      </c>
      <c r="Z78" s="8">
        <v>26671</v>
      </c>
      <c r="AA78" s="8">
        <v>200005426</v>
      </c>
      <c r="AB78" s="8">
        <v>140001941</v>
      </c>
      <c r="AC78" s="8" t="s">
        <v>52</v>
      </c>
      <c r="AD78" s="8" t="s">
        <v>52</v>
      </c>
      <c r="AE78" s="8" t="s">
        <v>64</v>
      </c>
      <c r="AF78" s="8" t="s">
        <v>65</v>
      </c>
      <c r="AG78" s="9" t="s">
        <v>66</v>
      </c>
      <c r="AH78" s="9" t="s">
        <v>66</v>
      </c>
      <c r="AI78" s="8" t="s">
        <v>52</v>
      </c>
      <c r="AJ78" s="8">
        <v>90409899</v>
      </c>
      <c r="AK78" s="8" t="s">
        <v>67</v>
      </c>
      <c r="AL78" s="8" t="s">
        <v>68</v>
      </c>
      <c r="AM78" s="8" t="s">
        <v>69</v>
      </c>
      <c r="AN78" s="8" t="s">
        <v>70</v>
      </c>
      <c r="AO78" s="8" t="s">
        <v>71</v>
      </c>
      <c r="AP78" s="8" t="s">
        <v>72</v>
      </c>
      <c r="AQ78" s="8" t="s">
        <v>61</v>
      </c>
      <c r="AR78" s="8" t="s">
        <v>62</v>
      </c>
      <c r="AS78" s="8" t="s">
        <v>73</v>
      </c>
      <c r="AT78" s="8" t="s">
        <v>73</v>
      </c>
      <c r="AU78" s="8" t="s">
        <v>61</v>
      </c>
      <c r="AV78" s="8" t="s">
        <v>74</v>
      </c>
    </row>
    <row r="79" spans="1:48" ht="15.6">
      <c r="A79" s="3">
        <v>15</v>
      </c>
      <c r="B79" s="4">
        <v>311490003398</v>
      </c>
      <c r="C79" s="4">
        <v>311202004678</v>
      </c>
      <c r="D79" s="4" t="s">
        <v>48</v>
      </c>
      <c r="E79" s="4" t="s">
        <v>49</v>
      </c>
      <c r="F79" s="4" t="s">
        <v>50</v>
      </c>
      <c r="G79" s="4" t="s">
        <v>51</v>
      </c>
      <c r="H79" s="4" t="s">
        <v>52</v>
      </c>
      <c r="I79" s="4" t="s">
        <v>53</v>
      </c>
      <c r="J79" s="4" t="s">
        <v>54</v>
      </c>
      <c r="K79" s="4" t="s">
        <v>54</v>
      </c>
      <c r="L79" s="4" t="s">
        <v>52</v>
      </c>
      <c r="M79" s="4" t="s">
        <v>55</v>
      </c>
      <c r="N79" s="5">
        <v>46069</v>
      </c>
      <c r="O79" s="5">
        <v>46054</v>
      </c>
      <c r="P79" s="4" t="s">
        <v>211</v>
      </c>
      <c r="Q79" s="18" t="s">
        <v>109</v>
      </c>
      <c r="R79" s="4" t="s">
        <v>212</v>
      </c>
      <c r="S79" s="6" t="s">
        <v>59</v>
      </c>
      <c r="T79" s="7" t="s">
        <v>60</v>
      </c>
      <c r="U79" s="8" t="s">
        <v>61</v>
      </c>
      <c r="V79" s="8" t="s">
        <v>62</v>
      </c>
      <c r="W79" s="8" t="s">
        <v>63</v>
      </c>
      <c r="X79" s="8" t="s">
        <v>61</v>
      </c>
      <c r="Y79" s="8" t="s">
        <v>62</v>
      </c>
      <c r="Z79" s="8">
        <v>26671</v>
      </c>
      <c r="AA79" s="8">
        <v>200005426</v>
      </c>
      <c r="AB79" s="8">
        <v>140001941</v>
      </c>
      <c r="AC79" s="8" t="s">
        <v>52</v>
      </c>
      <c r="AD79" s="8" t="s">
        <v>52</v>
      </c>
      <c r="AE79" s="8" t="s">
        <v>64</v>
      </c>
      <c r="AF79" s="8" t="s">
        <v>65</v>
      </c>
      <c r="AG79" s="9" t="s">
        <v>66</v>
      </c>
      <c r="AH79" s="9" t="s">
        <v>66</v>
      </c>
      <c r="AI79" s="8" t="s">
        <v>52</v>
      </c>
      <c r="AJ79" s="8">
        <v>90448225</v>
      </c>
      <c r="AK79" s="8" t="s">
        <v>67</v>
      </c>
      <c r="AL79" s="8" t="s">
        <v>68</v>
      </c>
      <c r="AM79" s="8" t="s">
        <v>69</v>
      </c>
      <c r="AN79" s="8" t="s">
        <v>70</v>
      </c>
      <c r="AO79" s="8" t="s">
        <v>71</v>
      </c>
      <c r="AP79" s="8" t="s">
        <v>72</v>
      </c>
      <c r="AQ79" s="8" t="s">
        <v>61</v>
      </c>
      <c r="AR79" s="8" t="s">
        <v>62</v>
      </c>
      <c r="AS79" s="8" t="s">
        <v>73</v>
      </c>
      <c r="AT79" s="8" t="s">
        <v>73</v>
      </c>
      <c r="AU79" s="8" t="s">
        <v>61</v>
      </c>
      <c r="AV79" s="8" t="s">
        <v>74</v>
      </c>
    </row>
    <row r="80" spans="1:48" ht="15.6">
      <c r="A80" s="3">
        <v>79</v>
      </c>
      <c r="B80" s="4">
        <v>311490003398</v>
      </c>
      <c r="C80" s="4">
        <v>311202004679</v>
      </c>
      <c r="D80" s="4" t="s">
        <v>48</v>
      </c>
      <c r="E80" s="4" t="s">
        <v>49</v>
      </c>
      <c r="F80" s="4" t="s">
        <v>50</v>
      </c>
      <c r="G80" s="4" t="s">
        <v>51</v>
      </c>
      <c r="H80" s="4" t="s">
        <v>52</v>
      </c>
      <c r="I80" s="4" t="s">
        <v>53</v>
      </c>
      <c r="J80" s="4" t="s">
        <v>54</v>
      </c>
      <c r="K80" s="4" t="s">
        <v>54</v>
      </c>
      <c r="L80" s="4" t="s">
        <v>52</v>
      </c>
      <c r="M80" s="4" t="s">
        <v>55</v>
      </c>
      <c r="N80" s="5">
        <v>46069</v>
      </c>
      <c r="O80" s="5">
        <v>46054</v>
      </c>
      <c r="P80" s="4" t="s">
        <v>213</v>
      </c>
      <c r="Q80" s="4" t="s">
        <v>76</v>
      </c>
      <c r="R80" s="4" t="s">
        <v>189</v>
      </c>
      <c r="S80" s="6" t="s">
        <v>78</v>
      </c>
      <c r="T80" s="7" t="s">
        <v>79</v>
      </c>
      <c r="U80" s="8" t="s">
        <v>61</v>
      </c>
      <c r="V80" s="8" t="s">
        <v>62</v>
      </c>
      <c r="W80" s="8" t="s">
        <v>63</v>
      </c>
      <c r="X80" s="8" t="s">
        <v>61</v>
      </c>
      <c r="Y80" s="8" t="s">
        <v>62</v>
      </c>
      <c r="Z80" s="8">
        <v>26671</v>
      </c>
      <c r="AA80" s="8">
        <v>200005426</v>
      </c>
      <c r="AB80" s="8">
        <v>140001941</v>
      </c>
      <c r="AC80" s="8" t="s">
        <v>52</v>
      </c>
      <c r="AD80" s="8" t="s">
        <v>52</v>
      </c>
      <c r="AE80" s="8" t="s">
        <v>64</v>
      </c>
      <c r="AF80" s="8" t="s">
        <v>65</v>
      </c>
      <c r="AG80" s="9" t="s">
        <v>66</v>
      </c>
      <c r="AH80" s="9" t="s">
        <v>66</v>
      </c>
      <c r="AI80" s="8" t="s">
        <v>52</v>
      </c>
      <c r="AJ80" s="8">
        <v>90443548</v>
      </c>
      <c r="AK80" s="8" t="s">
        <v>67</v>
      </c>
      <c r="AL80" s="8" t="s">
        <v>68</v>
      </c>
      <c r="AM80" s="8" t="s">
        <v>69</v>
      </c>
      <c r="AN80" s="8" t="s">
        <v>70</v>
      </c>
      <c r="AO80" s="8" t="s">
        <v>71</v>
      </c>
      <c r="AP80" s="8" t="s">
        <v>72</v>
      </c>
      <c r="AQ80" s="8" t="s">
        <v>61</v>
      </c>
      <c r="AR80" s="8" t="s">
        <v>62</v>
      </c>
      <c r="AS80" s="8" t="s">
        <v>73</v>
      </c>
      <c r="AT80" s="8" t="s">
        <v>73</v>
      </c>
      <c r="AU80" s="8" t="s">
        <v>61</v>
      </c>
      <c r="AV80" s="8" t="s">
        <v>74</v>
      </c>
    </row>
    <row r="81" spans="1:48" ht="15.6">
      <c r="A81" s="3">
        <v>80</v>
      </c>
      <c r="B81" s="4">
        <v>311490003398</v>
      </c>
      <c r="C81" s="4">
        <v>311202004680</v>
      </c>
      <c r="D81" s="4" t="s">
        <v>48</v>
      </c>
      <c r="E81" s="4" t="s">
        <v>49</v>
      </c>
      <c r="F81" s="4" t="s">
        <v>50</v>
      </c>
      <c r="G81" s="4" t="s">
        <v>51</v>
      </c>
      <c r="H81" s="4" t="s">
        <v>52</v>
      </c>
      <c r="I81" s="4" t="s">
        <v>53</v>
      </c>
      <c r="J81" s="4" t="s">
        <v>54</v>
      </c>
      <c r="K81" s="4" t="s">
        <v>54</v>
      </c>
      <c r="L81" s="4" t="s">
        <v>52</v>
      </c>
      <c r="M81" s="4" t="s">
        <v>55</v>
      </c>
      <c r="N81" s="5">
        <v>46069</v>
      </c>
      <c r="O81" s="5">
        <v>46054</v>
      </c>
      <c r="P81" s="4" t="s">
        <v>214</v>
      </c>
      <c r="Q81" s="4" t="s">
        <v>76</v>
      </c>
      <c r="R81" s="4" t="s">
        <v>215</v>
      </c>
      <c r="S81" s="6" t="s">
        <v>78</v>
      </c>
      <c r="T81" s="7" t="s">
        <v>79</v>
      </c>
      <c r="U81" s="8" t="s">
        <v>61</v>
      </c>
      <c r="V81" s="8" t="s">
        <v>62</v>
      </c>
      <c r="W81" s="8" t="s">
        <v>63</v>
      </c>
      <c r="X81" s="8" t="s">
        <v>61</v>
      </c>
      <c r="Y81" s="8" t="s">
        <v>62</v>
      </c>
      <c r="Z81" s="8">
        <v>26671</v>
      </c>
      <c r="AA81" s="8">
        <v>200005426</v>
      </c>
      <c r="AB81" s="8">
        <v>140001941</v>
      </c>
      <c r="AC81" s="8" t="s">
        <v>52</v>
      </c>
      <c r="AD81" s="8" t="s">
        <v>52</v>
      </c>
      <c r="AE81" s="8" t="s">
        <v>64</v>
      </c>
      <c r="AF81" s="8" t="s">
        <v>65</v>
      </c>
      <c r="AG81" s="9" t="s">
        <v>66</v>
      </c>
      <c r="AH81" s="9" t="s">
        <v>66</v>
      </c>
      <c r="AI81" s="8" t="s">
        <v>52</v>
      </c>
      <c r="AJ81" s="8">
        <v>90400798</v>
      </c>
      <c r="AK81" s="8" t="s">
        <v>67</v>
      </c>
      <c r="AL81" s="8" t="s">
        <v>68</v>
      </c>
      <c r="AM81" s="8" t="s">
        <v>69</v>
      </c>
      <c r="AN81" s="8" t="s">
        <v>70</v>
      </c>
      <c r="AO81" s="8" t="s">
        <v>71</v>
      </c>
      <c r="AP81" s="8" t="s">
        <v>72</v>
      </c>
      <c r="AQ81" s="8" t="s">
        <v>61</v>
      </c>
      <c r="AR81" s="8" t="s">
        <v>62</v>
      </c>
      <c r="AS81" s="8" t="s">
        <v>73</v>
      </c>
      <c r="AT81" s="8" t="s">
        <v>73</v>
      </c>
      <c r="AU81" s="8" t="s">
        <v>61</v>
      </c>
      <c r="AV81" s="8" t="s">
        <v>74</v>
      </c>
    </row>
    <row r="82" spans="1:48" ht="15.6">
      <c r="A82" s="3">
        <v>16</v>
      </c>
      <c r="B82" s="4">
        <v>311490003398</v>
      </c>
      <c r="C82" s="4">
        <v>311202004681</v>
      </c>
      <c r="D82" s="4" t="s">
        <v>48</v>
      </c>
      <c r="E82" s="4" t="s">
        <v>49</v>
      </c>
      <c r="F82" s="4" t="s">
        <v>50</v>
      </c>
      <c r="G82" s="4" t="s">
        <v>51</v>
      </c>
      <c r="H82" s="4" t="s">
        <v>52</v>
      </c>
      <c r="I82" s="4" t="s">
        <v>53</v>
      </c>
      <c r="J82" s="4" t="s">
        <v>54</v>
      </c>
      <c r="K82" s="4" t="s">
        <v>54</v>
      </c>
      <c r="L82" s="4" t="s">
        <v>52</v>
      </c>
      <c r="M82" s="4" t="s">
        <v>55</v>
      </c>
      <c r="N82" s="5">
        <v>46069</v>
      </c>
      <c r="O82" s="5">
        <v>46054</v>
      </c>
      <c r="P82" s="4" t="s">
        <v>216</v>
      </c>
      <c r="Q82" s="4" t="s">
        <v>76</v>
      </c>
      <c r="R82" s="4" t="s">
        <v>217</v>
      </c>
      <c r="S82" s="6" t="s">
        <v>59</v>
      </c>
      <c r="T82" s="7" t="s">
        <v>147</v>
      </c>
      <c r="U82" s="8" t="s">
        <v>61</v>
      </c>
      <c r="V82" s="8" t="s">
        <v>62</v>
      </c>
      <c r="W82" s="8" t="s">
        <v>63</v>
      </c>
      <c r="X82" s="8" t="s">
        <v>61</v>
      </c>
      <c r="Y82" s="8" t="s">
        <v>62</v>
      </c>
      <c r="Z82" s="8">
        <v>26671</v>
      </c>
      <c r="AA82" s="8">
        <v>200005426</v>
      </c>
      <c r="AB82" s="8">
        <v>140001941</v>
      </c>
      <c r="AC82" s="8" t="s">
        <v>52</v>
      </c>
      <c r="AD82" s="8" t="s">
        <v>52</v>
      </c>
      <c r="AE82" s="8" t="s">
        <v>64</v>
      </c>
      <c r="AF82" s="8" t="s">
        <v>65</v>
      </c>
      <c r="AG82" s="9" t="s">
        <v>66</v>
      </c>
      <c r="AH82" s="9" t="s">
        <v>66</v>
      </c>
      <c r="AI82" s="8" t="s">
        <v>52</v>
      </c>
      <c r="AJ82" s="8">
        <v>90448228</v>
      </c>
      <c r="AK82" s="8" t="s">
        <v>67</v>
      </c>
      <c r="AL82" s="8" t="s">
        <v>68</v>
      </c>
      <c r="AM82" s="8" t="s">
        <v>69</v>
      </c>
      <c r="AN82" s="8" t="s">
        <v>70</v>
      </c>
      <c r="AO82" s="8" t="s">
        <v>71</v>
      </c>
      <c r="AP82" s="8" t="s">
        <v>72</v>
      </c>
      <c r="AQ82" s="8" t="s">
        <v>61</v>
      </c>
      <c r="AR82" s="8" t="s">
        <v>62</v>
      </c>
      <c r="AS82" s="8" t="s">
        <v>73</v>
      </c>
      <c r="AT82" s="8" t="s">
        <v>73</v>
      </c>
      <c r="AU82" s="8" t="s">
        <v>61</v>
      </c>
      <c r="AV82" s="8" t="s">
        <v>74</v>
      </c>
    </row>
    <row r="83" spans="1:48" ht="15.6">
      <c r="A83" s="3">
        <v>82</v>
      </c>
      <c r="B83" s="4">
        <v>311490003398</v>
      </c>
      <c r="C83" s="4">
        <v>311601002773</v>
      </c>
      <c r="D83" s="4" t="s">
        <v>52</v>
      </c>
      <c r="E83" s="4" t="s">
        <v>49</v>
      </c>
      <c r="F83" s="4" t="s">
        <v>50</v>
      </c>
      <c r="G83" s="4" t="s">
        <v>51</v>
      </c>
      <c r="H83" s="4" t="s">
        <v>52</v>
      </c>
      <c r="I83" s="4" t="s">
        <v>53</v>
      </c>
      <c r="J83" s="4" t="s">
        <v>106</v>
      </c>
      <c r="K83" s="4" t="s">
        <v>107</v>
      </c>
      <c r="L83" s="4" t="s">
        <v>52</v>
      </c>
      <c r="M83" s="4" t="s">
        <v>55</v>
      </c>
      <c r="N83" s="5">
        <v>46069</v>
      </c>
      <c r="O83" s="5">
        <v>46054</v>
      </c>
      <c r="P83" s="4" t="s">
        <v>218</v>
      </c>
      <c r="Q83" s="4"/>
      <c r="R83" s="4" t="s">
        <v>52</v>
      </c>
      <c r="S83" s="6" t="s">
        <v>78</v>
      </c>
      <c r="T83" s="11" t="s">
        <v>79</v>
      </c>
      <c r="U83" s="8" t="s">
        <v>61</v>
      </c>
      <c r="V83" s="8" t="s">
        <v>62</v>
      </c>
      <c r="W83" s="8" t="s">
        <v>63</v>
      </c>
      <c r="X83" s="8" t="s">
        <v>61</v>
      </c>
      <c r="Y83" s="8" t="s">
        <v>62</v>
      </c>
      <c r="Z83" s="8">
        <v>26671</v>
      </c>
      <c r="AA83" s="8">
        <v>200005426</v>
      </c>
      <c r="AB83" s="8">
        <v>140001941</v>
      </c>
      <c r="AC83" s="8" t="s">
        <v>52</v>
      </c>
      <c r="AD83" s="8" t="s">
        <v>52</v>
      </c>
      <c r="AE83" s="8" t="s">
        <v>64</v>
      </c>
      <c r="AF83" s="8" t="s">
        <v>65</v>
      </c>
      <c r="AG83" s="9" t="s">
        <v>66</v>
      </c>
      <c r="AH83" s="9" t="s">
        <v>66</v>
      </c>
      <c r="AI83" s="8" t="s">
        <v>52</v>
      </c>
      <c r="AJ83" s="8">
        <v>90448230</v>
      </c>
      <c r="AK83" s="8" t="s">
        <v>67</v>
      </c>
      <c r="AL83" s="8" t="s">
        <v>68</v>
      </c>
      <c r="AM83" s="8" t="s">
        <v>69</v>
      </c>
      <c r="AN83" s="8" t="s">
        <v>70</v>
      </c>
      <c r="AO83" s="8" t="s">
        <v>71</v>
      </c>
      <c r="AP83" s="8" t="s">
        <v>72</v>
      </c>
      <c r="AQ83" s="8" t="s">
        <v>61</v>
      </c>
      <c r="AR83" s="8" t="s">
        <v>62</v>
      </c>
      <c r="AS83" s="8" t="s">
        <v>73</v>
      </c>
      <c r="AT83" s="8" t="s">
        <v>73</v>
      </c>
      <c r="AU83" s="8" t="s">
        <v>61</v>
      </c>
      <c r="AV83" s="8" t="s">
        <v>74</v>
      </c>
    </row>
    <row r="84" spans="1:48" ht="15.6">
      <c r="A84" s="3">
        <v>17</v>
      </c>
      <c r="B84" s="4">
        <v>311490003398</v>
      </c>
      <c r="C84" s="4">
        <v>311202004683</v>
      </c>
      <c r="D84" s="4" t="s">
        <v>48</v>
      </c>
      <c r="E84" s="4" t="s">
        <v>49</v>
      </c>
      <c r="F84" s="4" t="s">
        <v>50</v>
      </c>
      <c r="G84" s="4" t="s">
        <v>51</v>
      </c>
      <c r="H84" s="4" t="s">
        <v>52</v>
      </c>
      <c r="I84" s="4" t="s">
        <v>53</v>
      </c>
      <c r="J84" s="4" t="s">
        <v>54</v>
      </c>
      <c r="K84" s="4" t="s">
        <v>54</v>
      </c>
      <c r="L84" s="4" t="s">
        <v>52</v>
      </c>
      <c r="M84" s="4" t="s">
        <v>55</v>
      </c>
      <c r="N84" s="5">
        <v>46069</v>
      </c>
      <c r="O84" s="5">
        <v>46054</v>
      </c>
      <c r="P84" s="4" t="s">
        <v>219</v>
      </c>
      <c r="Q84" s="4" t="s">
        <v>76</v>
      </c>
      <c r="R84" s="4" t="s">
        <v>220</v>
      </c>
      <c r="S84" s="6" t="s">
        <v>59</v>
      </c>
      <c r="T84" s="10" t="s">
        <v>166</v>
      </c>
      <c r="U84" s="8" t="s">
        <v>61</v>
      </c>
      <c r="V84" s="8" t="s">
        <v>62</v>
      </c>
      <c r="W84" s="8" t="s">
        <v>63</v>
      </c>
      <c r="X84" s="8" t="s">
        <v>61</v>
      </c>
      <c r="Y84" s="8" t="s">
        <v>62</v>
      </c>
      <c r="Z84" s="8">
        <v>26671</v>
      </c>
      <c r="AA84" s="8">
        <v>200005426</v>
      </c>
      <c r="AB84" s="8">
        <v>140001941</v>
      </c>
      <c r="AC84" s="8" t="s">
        <v>52</v>
      </c>
      <c r="AD84" s="8" t="s">
        <v>52</v>
      </c>
      <c r="AE84" s="8" t="s">
        <v>64</v>
      </c>
      <c r="AF84" s="8" t="s">
        <v>65</v>
      </c>
      <c r="AG84" s="9" t="s">
        <v>66</v>
      </c>
      <c r="AH84" s="9" t="s">
        <v>66</v>
      </c>
      <c r="AI84" s="8" t="s">
        <v>52</v>
      </c>
      <c r="AJ84" s="8">
        <v>90364252</v>
      </c>
      <c r="AK84" s="8" t="s">
        <v>67</v>
      </c>
      <c r="AL84" s="8" t="s">
        <v>68</v>
      </c>
      <c r="AM84" s="8" t="s">
        <v>69</v>
      </c>
      <c r="AN84" s="8" t="s">
        <v>70</v>
      </c>
      <c r="AO84" s="8" t="s">
        <v>71</v>
      </c>
      <c r="AP84" s="8" t="s">
        <v>72</v>
      </c>
      <c r="AQ84" s="8" t="s">
        <v>61</v>
      </c>
      <c r="AR84" s="8" t="s">
        <v>62</v>
      </c>
      <c r="AS84" s="8" t="s">
        <v>73</v>
      </c>
      <c r="AT84" s="8" t="s">
        <v>73</v>
      </c>
      <c r="AU84" s="8" t="s">
        <v>61</v>
      </c>
      <c r="AV84" s="8" t="s">
        <v>74</v>
      </c>
    </row>
    <row r="85" spans="1:48" ht="15">
      <c r="A85" s="3">
        <v>84</v>
      </c>
      <c r="B85" s="4">
        <v>311490003398</v>
      </c>
      <c r="C85" s="4">
        <v>311601002774</v>
      </c>
      <c r="D85" s="4" t="s">
        <v>52</v>
      </c>
      <c r="E85" s="4" t="s">
        <v>49</v>
      </c>
      <c r="F85" s="4" t="s">
        <v>50</v>
      </c>
      <c r="G85" s="4" t="s">
        <v>51</v>
      </c>
      <c r="H85" s="4" t="s">
        <v>52</v>
      </c>
      <c r="I85" s="4" t="s">
        <v>53</v>
      </c>
      <c r="J85" s="4" t="s">
        <v>106</v>
      </c>
      <c r="K85" s="4" t="s">
        <v>107</v>
      </c>
      <c r="L85" s="4" t="s">
        <v>52</v>
      </c>
      <c r="M85" s="4" t="s">
        <v>55</v>
      </c>
      <c r="N85" s="5">
        <v>46069</v>
      </c>
      <c r="O85" s="5">
        <v>46054</v>
      </c>
      <c r="P85" s="4" t="s">
        <v>221</v>
      </c>
      <c r="Q85" s="4"/>
      <c r="R85" s="4"/>
      <c r="S85" s="3" t="s">
        <v>52</v>
      </c>
      <c r="T85" s="11" t="s">
        <v>79</v>
      </c>
      <c r="U85" s="8" t="s">
        <v>61</v>
      </c>
      <c r="V85" s="8" t="s">
        <v>62</v>
      </c>
      <c r="W85" s="8" t="s">
        <v>63</v>
      </c>
      <c r="X85" s="8" t="s">
        <v>61</v>
      </c>
      <c r="Y85" s="8" t="s">
        <v>62</v>
      </c>
      <c r="Z85" s="8">
        <v>26671</v>
      </c>
      <c r="AA85" s="8">
        <v>200005426</v>
      </c>
      <c r="AB85" s="8">
        <v>140001941</v>
      </c>
      <c r="AC85" s="8" t="s">
        <v>52</v>
      </c>
      <c r="AD85" s="8" t="s">
        <v>52</v>
      </c>
      <c r="AE85" s="8" t="s">
        <v>64</v>
      </c>
      <c r="AF85" s="8" t="s">
        <v>65</v>
      </c>
      <c r="AG85" s="9" t="s">
        <v>66</v>
      </c>
      <c r="AH85" s="9" t="s">
        <v>66</v>
      </c>
      <c r="AI85" s="8" t="s">
        <v>52</v>
      </c>
      <c r="AJ85" s="8">
        <v>90453405</v>
      </c>
      <c r="AK85" s="8" t="s">
        <v>67</v>
      </c>
      <c r="AL85" s="8" t="s">
        <v>68</v>
      </c>
      <c r="AM85" s="8" t="s">
        <v>69</v>
      </c>
      <c r="AN85" s="8" t="s">
        <v>70</v>
      </c>
      <c r="AO85" s="8" t="s">
        <v>71</v>
      </c>
      <c r="AP85" s="8" t="s">
        <v>72</v>
      </c>
      <c r="AQ85" s="8" t="s">
        <v>61</v>
      </c>
      <c r="AR85" s="8" t="s">
        <v>62</v>
      </c>
      <c r="AS85" s="8" t="s">
        <v>73</v>
      </c>
      <c r="AT85" s="8" t="s">
        <v>73</v>
      </c>
      <c r="AU85" s="8" t="s">
        <v>61</v>
      </c>
      <c r="AV85" s="8" t="s">
        <v>74</v>
      </c>
    </row>
    <row r="86" spans="1:48" ht="15.6">
      <c r="A86" s="3">
        <v>85</v>
      </c>
      <c r="B86" s="4">
        <v>311490003398</v>
      </c>
      <c r="C86" s="4">
        <v>311601002775</v>
      </c>
      <c r="D86" s="4" t="s">
        <v>52</v>
      </c>
      <c r="E86" s="4" t="s">
        <v>49</v>
      </c>
      <c r="F86" s="4" t="s">
        <v>50</v>
      </c>
      <c r="G86" s="4" t="s">
        <v>51</v>
      </c>
      <c r="H86" s="4" t="s">
        <v>52</v>
      </c>
      <c r="I86" s="4" t="s">
        <v>53</v>
      </c>
      <c r="J86" s="4" t="s">
        <v>106</v>
      </c>
      <c r="K86" s="4" t="s">
        <v>107</v>
      </c>
      <c r="L86" s="4" t="s">
        <v>52</v>
      </c>
      <c r="M86" s="4" t="s">
        <v>55</v>
      </c>
      <c r="N86" s="5">
        <v>46069</v>
      </c>
      <c r="O86" s="5">
        <v>46054</v>
      </c>
      <c r="P86" s="4" t="s">
        <v>222</v>
      </c>
      <c r="Q86" s="4"/>
      <c r="R86" s="4" t="s">
        <v>52</v>
      </c>
      <c r="S86" s="6" t="s">
        <v>78</v>
      </c>
      <c r="T86" s="11" t="s">
        <v>79</v>
      </c>
      <c r="U86" s="8" t="s">
        <v>61</v>
      </c>
      <c r="V86" s="8" t="s">
        <v>62</v>
      </c>
      <c r="W86" s="8" t="s">
        <v>63</v>
      </c>
      <c r="X86" s="8" t="s">
        <v>61</v>
      </c>
      <c r="Y86" s="8" t="s">
        <v>62</v>
      </c>
      <c r="Z86" s="8">
        <v>26671</v>
      </c>
      <c r="AA86" s="8">
        <v>200005426</v>
      </c>
      <c r="AB86" s="8">
        <v>140001941</v>
      </c>
      <c r="AC86" s="8" t="s">
        <v>52</v>
      </c>
      <c r="AD86" s="8" t="s">
        <v>52</v>
      </c>
      <c r="AE86" s="8" t="s">
        <v>64</v>
      </c>
      <c r="AF86" s="8" t="s">
        <v>65</v>
      </c>
      <c r="AG86" s="9" t="s">
        <v>66</v>
      </c>
      <c r="AH86" s="9" t="s">
        <v>66</v>
      </c>
      <c r="AI86" s="8" t="s">
        <v>52</v>
      </c>
      <c r="AJ86" s="8">
        <v>90443550</v>
      </c>
      <c r="AK86" s="8" t="s">
        <v>67</v>
      </c>
      <c r="AL86" s="8" t="s">
        <v>68</v>
      </c>
      <c r="AM86" s="8" t="s">
        <v>69</v>
      </c>
      <c r="AN86" s="8" t="s">
        <v>70</v>
      </c>
      <c r="AO86" s="8" t="s">
        <v>71</v>
      </c>
      <c r="AP86" s="8" t="s">
        <v>72</v>
      </c>
      <c r="AQ86" s="8" t="s">
        <v>61</v>
      </c>
      <c r="AR86" s="8" t="s">
        <v>62</v>
      </c>
      <c r="AS86" s="8" t="s">
        <v>73</v>
      </c>
      <c r="AT86" s="8" t="s">
        <v>73</v>
      </c>
      <c r="AU86" s="8" t="s">
        <v>61</v>
      </c>
      <c r="AV86" s="8" t="s">
        <v>74</v>
      </c>
    </row>
    <row r="87" spans="1:48" ht="15.6">
      <c r="A87" s="3">
        <v>86</v>
      </c>
      <c r="B87" s="4">
        <v>311490003398</v>
      </c>
      <c r="C87" s="4">
        <v>311601002776</v>
      </c>
      <c r="D87" s="4" t="s">
        <v>52</v>
      </c>
      <c r="E87" s="4" t="s">
        <v>49</v>
      </c>
      <c r="F87" s="4" t="s">
        <v>50</v>
      </c>
      <c r="G87" s="4" t="s">
        <v>51</v>
      </c>
      <c r="H87" s="4" t="s">
        <v>52</v>
      </c>
      <c r="I87" s="4" t="s">
        <v>53</v>
      </c>
      <c r="J87" s="4" t="s">
        <v>106</v>
      </c>
      <c r="K87" s="4" t="s">
        <v>107</v>
      </c>
      <c r="L87" s="4" t="s">
        <v>52</v>
      </c>
      <c r="M87" s="4" t="s">
        <v>55</v>
      </c>
      <c r="N87" s="5">
        <v>46069</v>
      </c>
      <c r="O87" s="5">
        <v>46054</v>
      </c>
      <c r="P87" s="4" t="s">
        <v>223</v>
      </c>
      <c r="Q87" s="4"/>
      <c r="R87" s="4" t="s">
        <v>52</v>
      </c>
      <c r="S87" s="6" t="s">
        <v>78</v>
      </c>
      <c r="T87" s="11" t="s">
        <v>79</v>
      </c>
      <c r="U87" s="8" t="s">
        <v>61</v>
      </c>
      <c r="V87" s="8" t="s">
        <v>62</v>
      </c>
      <c r="W87" s="8" t="s">
        <v>63</v>
      </c>
      <c r="X87" s="8" t="s">
        <v>61</v>
      </c>
      <c r="Y87" s="8" t="s">
        <v>62</v>
      </c>
      <c r="Z87" s="8">
        <v>26671</v>
      </c>
      <c r="AA87" s="8">
        <v>200005426</v>
      </c>
      <c r="AB87" s="8">
        <v>140001941</v>
      </c>
      <c r="AC87" s="8" t="s">
        <v>52</v>
      </c>
      <c r="AD87" s="8" t="s">
        <v>52</v>
      </c>
      <c r="AE87" s="8" t="s">
        <v>64</v>
      </c>
      <c r="AF87" s="8" t="s">
        <v>65</v>
      </c>
      <c r="AG87" s="9" t="s">
        <v>66</v>
      </c>
      <c r="AH87" s="9" t="s">
        <v>66</v>
      </c>
      <c r="AI87" s="8" t="s">
        <v>52</v>
      </c>
      <c r="AJ87" s="8">
        <v>90443552</v>
      </c>
      <c r="AK87" s="8" t="s">
        <v>67</v>
      </c>
      <c r="AL87" s="8" t="s">
        <v>68</v>
      </c>
      <c r="AM87" s="8" t="s">
        <v>69</v>
      </c>
      <c r="AN87" s="8" t="s">
        <v>70</v>
      </c>
      <c r="AO87" s="8" t="s">
        <v>71</v>
      </c>
      <c r="AP87" s="8" t="s">
        <v>72</v>
      </c>
      <c r="AQ87" s="8" t="s">
        <v>61</v>
      </c>
      <c r="AR87" s="8" t="s">
        <v>62</v>
      </c>
      <c r="AS87" s="8" t="s">
        <v>73</v>
      </c>
      <c r="AT87" s="8" t="s">
        <v>73</v>
      </c>
      <c r="AU87" s="8" t="s">
        <v>61</v>
      </c>
      <c r="AV87" s="8" t="s">
        <v>74</v>
      </c>
    </row>
    <row r="88" spans="1:48" ht="15.6">
      <c r="A88" s="3">
        <v>87</v>
      </c>
      <c r="B88" s="4">
        <v>311490003398</v>
      </c>
      <c r="C88" s="4">
        <v>311601002777</v>
      </c>
      <c r="D88" s="4" t="s">
        <v>52</v>
      </c>
      <c r="E88" s="4" t="s">
        <v>49</v>
      </c>
      <c r="F88" s="4" t="s">
        <v>50</v>
      </c>
      <c r="G88" s="4" t="s">
        <v>51</v>
      </c>
      <c r="H88" s="4" t="s">
        <v>52</v>
      </c>
      <c r="I88" s="4" t="s">
        <v>53</v>
      </c>
      <c r="J88" s="4" t="s">
        <v>106</v>
      </c>
      <c r="K88" s="4" t="s">
        <v>107</v>
      </c>
      <c r="L88" s="4" t="s">
        <v>52</v>
      </c>
      <c r="M88" s="4" t="s">
        <v>55</v>
      </c>
      <c r="N88" s="5">
        <v>46069</v>
      </c>
      <c r="O88" s="5">
        <v>46054</v>
      </c>
      <c r="P88" s="4" t="s">
        <v>224</v>
      </c>
      <c r="Q88" s="4"/>
      <c r="R88" s="4" t="s">
        <v>52</v>
      </c>
      <c r="S88" s="6" t="s">
        <v>78</v>
      </c>
      <c r="T88" s="11" t="s">
        <v>79</v>
      </c>
      <c r="U88" s="8" t="s">
        <v>61</v>
      </c>
      <c r="V88" s="8" t="s">
        <v>62</v>
      </c>
      <c r="W88" s="8" t="s">
        <v>63</v>
      </c>
      <c r="X88" s="8" t="s">
        <v>61</v>
      </c>
      <c r="Y88" s="8" t="s">
        <v>62</v>
      </c>
      <c r="Z88" s="8">
        <v>26671</v>
      </c>
      <c r="AA88" s="8">
        <v>200005426</v>
      </c>
      <c r="AB88" s="8">
        <v>140001941</v>
      </c>
      <c r="AC88" s="8" t="s">
        <v>52</v>
      </c>
      <c r="AD88" s="8" t="s">
        <v>52</v>
      </c>
      <c r="AE88" s="8" t="s">
        <v>64</v>
      </c>
      <c r="AF88" s="8" t="s">
        <v>65</v>
      </c>
      <c r="AG88" s="9" t="s">
        <v>66</v>
      </c>
      <c r="AH88" s="9" t="s">
        <v>66</v>
      </c>
      <c r="AI88" s="8" t="s">
        <v>52</v>
      </c>
      <c r="AJ88" s="8">
        <v>90448232</v>
      </c>
      <c r="AK88" s="8" t="s">
        <v>67</v>
      </c>
      <c r="AL88" s="8" t="s">
        <v>68</v>
      </c>
      <c r="AM88" s="8" t="s">
        <v>69</v>
      </c>
      <c r="AN88" s="8" t="s">
        <v>70</v>
      </c>
      <c r="AO88" s="8" t="s">
        <v>71</v>
      </c>
      <c r="AP88" s="8" t="s">
        <v>72</v>
      </c>
      <c r="AQ88" s="8" t="s">
        <v>61</v>
      </c>
      <c r="AR88" s="8" t="s">
        <v>62</v>
      </c>
      <c r="AS88" s="8" t="s">
        <v>73</v>
      </c>
      <c r="AT88" s="8" t="s">
        <v>73</v>
      </c>
      <c r="AU88" s="8" t="s">
        <v>61</v>
      </c>
      <c r="AV88" s="8" t="s">
        <v>74</v>
      </c>
    </row>
    <row r="89" spans="1:48" ht="15.6">
      <c r="A89" s="3">
        <v>88</v>
      </c>
      <c r="B89" s="4">
        <v>311490003398</v>
      </c>
      <c r="C89" s="4">
        <v>311601002778</v>
      </c>
      <c r="D89" s="4" t="s">
        <v>52</v>
      </c>
      <c r="E89" s="4" t="s">
        <v>49</v>
      </c>
      <c r="F89" s="4" t="s">
        <v>50</v>
      </c>
      <c r="G89" s="4" t="s">
        <v>51</v>
      </c>
      <c r="H89" s="4" t="s">
        <v>52</v>
      </c>
      <c r="I89" s="4" t="s">
        <v>53</v>
      </c>
      <c r="J89" s="4" t="s">
        <v>106</v>
      </c>
      <c r="K89" s="4" t="s">
        <v>107</v>
      </c>
      <c r="L89" s="4" t="s">
        <v>52</v>
      </c>
      <c r="M89" s="4" t="s">
        <v>55</v>
      </c>
      <c r="N89" s="5">
        <v>46069</v>
      </c>
      <c r="O89" s="5">
        <v>46054</v>
      </c>
      <c r="P89" s="4" t="s">
        <v>225</v>
      </c>
      <c r="Q89" s="4"/>
      <c r="R89" s="4" t="s">
        <v>52</v>
      </c>
      <c r="S89" s="6" t="s">
        <v>78</v>
      </c>
      <c r="T89" s="11" t="s">
        <v>79</v>
      </c>
      <c r="U89" s="8" t="s">
        <v>61</v>
      </c>
      <c r="V89" s="8" t="s">
        <v>62</v>
      </c>
      <c r="W89" s="8" t="s">
        <v>63</v>
      </c>
      <c r="X89" s="8" t="s">
        <v>61</v>
      </c>
      <c r="Y89" s="8" t="s">
        <v>62</v>
      </c>
      <c r="Z89" s="8">
        <v>26671</v>
      </c>
      <c r="AA89" s="8">
        <v>200005426</v>
      </c>
      <c r="AB89" s="8">
        <v>140001941</v>
      </c>
      <c r="AC89" s="8" t="s">
        <v>52</v>
      </c>
      <c r="AD89" s="8" t="s">
        <v>52</v>
      </c>
      <c r="AE89" s="8" t="s">
        <v>64</v>
      </c>
      <c r="AF89" s="8" t="s">
        <v>65</v>
      </c>
      <c r="AG89" s="9" t="s">
        <v>66</v>
      </c>
      <c r="AH89" s="9" t="s">
        <v>66</v>
      </c>
      <c r="AI89" s="8" t="s">
        <v>52</v>
      </c>
      <c r="AJ89" s="8">
        <v>90364253</v>
      </c>
      <c r="AK89" s="8" t="s">
        <v>67</v>
      </c>
      <c r="AL89" s="8" t="s">
        <v>68</v>
      </c>
      <c r="AM89" s="8" t="s">
        <v>69</v>
      </c>
      <c r="AN89" s="8" t="s">
        <v>70</v>
      </c>
      <c r="AO89" s="8" t="s">
        <v>71</v>
      </c>
      <c r="AP89" s="8" t="s">
        <v>72</v>
      </c>
      <c r="AQ89" s="8" t="s">
        <v>61</v>
      </c>
      <c r="AR89" s="8" t="s">
        <v>62</v>
      </c>
      <c r="AS89" s="8" t="s">
        <v>73</v>
      </c>
      <c r="AT89" s="8" t="s">
        <v>73</v>
      </c>
      <c r="AU89" s="8" t="s">
        <v>61</v>
      </c>
      <c r="AV89" s="8" t="s">
        <v>74</v>
      </c>
    </row>
    <row r="90" spans="1:48" ht="15.6">
      <c r="A90" s="3">
        <v>89</v>
      </c>
      <c r="B90" s="4">
        <v>311490003398</v>
      </c>
      <c r="C90" s="4">
        <v>311610004841</v>
      </c>
      <c r="D90" s="4" t="s">
        <v>52</v>
      </c>
      <c r="E90" s="4" t="s">
        <v>49</v>
      </c>
      <c r="F90" s="4" t="s">
        <v>50</v>
      </c>
      <c r="G90" s="4" t="s">
        <v>51</v>
      </c>
      <c r="H90" s="4" t="s">
        <v>52</v>
      </c>
      <c r="I90" s="4" t="s">
        <v>53</v>
      </c>
      <c r="J90" s="4" t="s">
        <v>226</v>
      </c>
      <c r="K90" s="4" t="s">
        <v>227</v>
      </c>
      <c r="L90" s="4" t="s">
        <v>52</v>
      </c>
      <c r="M90" s="4" t="s">
        <v>55</v>
      </c>
      <c r="N90" s="5">
        <v>46069</v>
      </c>
      <c r="O90" s="5">
        <v>46054</v>
      </c>
      <c r="P90" s="4" t="s">
        <v>228</v>
      </c>
      <c r="Q90" s="19" t="s">
        <v>229</v>
      </c>
      <c r="R90" s="4" t="s">
        <v>230</v>
      </c>
      <c r="S90" s="6" t="s">
        <v>78</v>
      </c>
      <c r="T90" s="11" t="s">
        <v>79</v>
      </c>
      <c r="U90" s="8" t="s">
        <v>61</v>
      </c>
      <c r="V90" s="8" t="s">
        <v>62</v>
      </c>
      <c r="W90" s="8" t="s">
        <v>63</v>
      </c>
      <c r="X90" s="8" t="s">
        <v>61</v>
      </c>
      <c r="Y90" s="8" t="s">
        <v>62</v>
      </c>
      <c r="Z90" s="8">
        <v>26671</v>
      </c>
      <c r="AA90" s="8">
        <v>200005426</v>
      </c>
      <c r="AB90" s="8">
        <v>140001941</v>
      </c>
      <c r="AC90" s="8" t="s">
        <v>52</v>
      </c>
      <c r="AD90" s="8" t="s">
        <v>52</v>
      </c>
      <c r="AE90" s="8" t="s">
        <v>64</v>
      </c>
      <c r="AF90" s="8" t="s">
        <v>65</v>
      </c>
      <c r="AG90" s="9" t="s">
        <v>66</v>
      </c>
      <c r="AH90" s="9" t="s">
        <v>66</v>
      </c>
      <c r="AI90" s="8" t="s">
        <v>52</v>
      </c>
      <c r="AJ90" s="8">
        <v>90400800</v>
      </c>
      <c r="AK90" s="8" t="s">
        <v>67</v>
      </c>
      <c r="AL90" s="8" t="s">
        <v>68</v>
      </c>
      <c r="AM90" s="8" t="s">
        <v>69</v>
      </c>
      <c r="AN90" s="8" t="s">
        <v>70</v>
      </c>
      <c r="AO90" s="8" t="s">
        <v>71</v>
      </c>
      <c r="AP90" s="8" t="s">
        <v>72</v>
      </c>
      <c r="AQ90" s="8" t="s">
        <v>61</v>
      </c>
      <c r="AR90" s="8" t="s">
        <v>62</v>
      </c>
      <c r="AS90" s="8" t="s">
        <v>73</v>
      </c>
      <c r="AT90" s="8" t="s">
        <v>73</v>
      </c>
      <c r="AU90" s="8" t="s">
        <v>61</v>
      </c>
      <c r="AV90" s="8" t="s">
        <v>74</v>
      </c>
    </row>
    <row r="91" spans="1:48" ht="60">
      <c r="A91" s="3">
        <v>90</v>
      </c>
      <c r="B91" s="4">
        <v>311490003398</v>
      </c>
      <c r="C91" s="4">
        <v>311610004842</v>
      </c>
      <c r="D91" s="4" t="s">
        <v>52</v>
      </c>
      <c r="E91" s="4" t="s">
        <v>49</v>
      </c>
      <c r="F91" s="4" t="s">
        <v>50</v>
      </c>
      <c r="G91" s="4" t="s">
        <v>51</v>
      </c>
      <c r="H91" s="4" t="s">
        <v>52</v>
      </c>
      <c r="I91" s="4" t="s">
        <v>53</v>
      </c>
      <c r="J91" s="4" t="s">
        <v>226</v>
      </c>
      <c r="K91" s="4" t="s">
        <v>227</v>
      </c>
      <c r="L91" s="4" t="s">
        <v>52</v>
      </c>
      <c r="M91" s="4" t="s">
        <v>55</v>
      </c>
      <c r="N91" s="5">
        <v>46069</v>
      </c>
      <c r="O91" s="5">
        <v>46054</v>
      </c>
      <c r="P91" s="4" t="s">
        <v>231</v>
      </c>
      <c r="Q91" s="19" t="s">
        <v>229</v>
      </c>
      <c r="R91" s="20" t="s">
        <v>232</v>
      </c>
      <c r="S91" s="6" t="s">
        <v>78</v>
      </c>
      <c r="T91" s="11" t="s">
        <v>79</v>
      </c>
      <c r="U91" s="8" t="s">
        <v>61</v>
      </c>
      <c r="V91" s="8" t="s">
        <v>62</v>
      </c>
      <c r="W91" s="8" t="s">
        <v>63</v>
      </c>
      <c r="X91" s="8" t="s">
        <v>61</v>
      </c>
      <c r="Y91" s="8" t="s">
        <v>62</v>
      </c>
      <c r="Z91" s="8">
        <v>26671</v>
      </c>
      <c r="AA91" s="8">
        <v>200005426</v>
      </c>
      <c r="AB91" s="8">
        <v>140001941</v>
      </c>
      <c r="AC91" s="8" t="s">
        <v>52</v>
      </c>
      <c r="AD91" s="8" t="s">
        <v>52</v>
      </c>
      <c r="AE91" s="8" t="s">
        <v>64</v>
      </c>
      <c r="AF91" s="8" t="s">
        <v>65</v>
      </c>
      <c r="AG91" s="9" t="s">
        <v>66</v>
      </c>
      <c r="AH91" s="9" t="s">
        <v>66</v>
      </c>
      <c r="AI91" s="8" t="s">
        <v>52</v>
      </c>
      <c r="AJ91" s="8">
        <v>90364254</v>
      </c>
      <c r="AK91" s="8" t="s">
        <v>67</v>
      </c>
      <c r="AL91" s="8" t="s">
        <v>68</v>
      </c>
      <c r="AM91" s="8" t="s">
        <v>69</v>
      </c>
      <c r="AN91" s="8" t="s">
        <v>70</v>
      </c>
      <c r="AO91" s="8" t="s">
        <v>71</v>
      </c>
      <c r="AP91" s="8" t="s">
        <v>72</v>
      </c>
      <c r="AQ91" s="8" t="s">
        <v>61</v>
      </c>
      <c r="AR91" s="8" t="s">
        <v>62</v>
      </c>
      <c r="AS91" s="8" t="s">
        <v>73</v>
      </c>
      <c r="AT91" s="8" t="s">
        <v>73</v>
      </c>
      <c r="AU91" s="8" t="s">
        <v>61</v>
      </c>
      <c r="AV91" s="8" t="s">
        <v>74</v>
      </c>
    </row>
    <row r="92" spans="1:48" ht="15.6">
      <c r="A92" s="3">
        <v>91</v>
      </c>
      <c r="B92" s="4">
        <v>311490003398</v>
      </c>
      <c r="C92" s="4">
        <v>311202004692</v>
      </c>
      <c r="D92" s="4" t="s">
        <v>48</v>
      </c>
      <c r="E92" s="4" t="s">
        <v>49</v>
      </c>
      <c r="F92" s="4" t="s">
        <v>50</v>
      </c>
      <c r="G92" s="4" t="s">
        <v>51</v>
      </c>
      <c r="H92" s="4" t="s">
        <v>52</v>
      </c>
      <c r="I92" s="4" t="s">
        <v>53</v>
      </c>
      <c r="J92" s="4" t="s">
        <v>54</v>
      </c>
      <c r="K92" s="4" t="s">
        <v>54</v>
      </c>
      <c r="L92" s="4" t="s">
        <v>52</v>
      </c>
      <c r="M92" s="4" t="s">
        <v>55</v>
      </c>
      <c r="N92" s="5">
        <v>46069</v>
      </c>
      <c r="O92" s="5">
        <v>46054</v>
      </c>
      <c r="P92" s="4" t="s">
        <v>233</v>
      </c>
      <c r="Q92" s="4" t="s">
        <v>76</v>
      </c>
      <c r="R92" s="4" t="s">
        <v>234</v>
      </c>
      <c r="S92" s="6" t="s">
        <v>78</v>
      </c>
      <c r="T92" s="7" t="s">
        <v>79</v>
      </c>
      <c r="U92" s="8" t="s">
        <v>61</v>
      </c>
      <c r="V92" s="8" t="s">
        <v>62</v>
      </c>
      <c r="W92" s="8" t="s">
        <v>63</v>
      </c>
      <c r="X92" s="8" t="s">
        <v>61</v>
      </c>
      <c r="Y92" s="8" t="s">
        <v>62</v>
      </c>
      <c r="Z92" s="8">
        <v>26671</v>
      </c>
      <c r="AA92" s="8">
        <v>200005426</v>
      </c>
      <c r="AB92" s="8">
        <v>140001941</v>
      </c>
      <c r="AC92" s="8" t="s">
        <v>52</v>
      </c>
      <c r="AD92" s="8" t="s">
        <v>52</v>
      </c>
      <c r="AE92" s="8" t="s">
        <v>64</v>
      </c>
      <c r="AF92" s="8" t="s">
        <v>65</v>
      </c>
      <c r="AG92" s="9" t="s">
        <v>66</v>
      </c>
      <c r="AH92" s="9" t="s">
        <v>66</v>
      </c>
      <c r="AI92" s="8" t="s">
        <v>52</v>
      </c>
      <c r="AJ92" s="8">
        <v>90448234</v>
      </c>
      <c r="AK92" s="8" t="s">
        <v>67</v>
      </c>
      <c r="AL92" s="8" t="s">
        <v>68</v>
      </c>
      <c r="AM92" s="8" t="s">
        <v>69</v>
      </c>
      <c r="AN92" s="8" t="s">
        <v>70</v>
      </c>
      <c r="AO92" s="8" t="s">
        <v>71</v>
      </c>
      <c r="AP92" s="8" t="s">
        <v>72</v>
      </c>
      <c r="AQ92" s="8" t="s">
        <v>61</v>
      </c>
      <c r="AR92" s="8" t="s">
        <v>62</v>
      </c>
      <c r="AS92" s="8" t="s">
        <v>73</v>
      </c>
      <c r="AT92" s="8" t="s">
        <v>73</v>
      </c>
      <c r="AU92" s="8" t="s">
        <v>61</v>
      </c>
      <c r="AV92" s="8" t="s">
        <v>74</v>
      </c>
    </row>
    <row r="93" spans="1:48" ht="45">
      <c r="A93" s="3">
        <v>92</v>
      </c>
      <c r="B93" s="4">
        <v>311490003398</v>
      </c>
      <c r="C93" s="4">
        <v>311610004840</v>
      </c>
      <c r="D93" s="4" t="s">
        <v>48</v>
      </c>
      <c r="E93" s="4" t="s">
        <v>49</v>
      </c>
      <c r="F93" s="4" t="s">
        <v>50</v>
      </c>
      <c r="G93" s="4" t="s">
        <v>51</v>
      </c>
      <c r="H93" s="4" t="s">
        <v>52</v>
      </c>
      <c r="I93" s="4" t="s">
        <v>53</v>
      </c>
      <c r="J93" s="4" t="s">
        <v>226</v>
      </c>
      <c r="K93" s="4" t="s">
        <v>227</v>
      </c>
      <c r="L93" s="4" t="s">
        <v>52</v>
      </c>
      <c r="M93" s="4" t="s">
        <v>55</v>
      </c>
      <c r="N93" s="5">
        <v>46069</v>
      </c>
      <c r="O93" s="5">
        <v>46054</v>
      </c>
      <c r="P93" s="4" t="s">
        <v>235</v>
      </c>
      <c r="Q93" s="19" t="s">
        <v>229</v>
      </c>
      <c r="R93" s="21" t="s">
        <v>236</v>
      </c>
      <c r="S93" s="6" t="s">
        <v>78</v>
      </c>
      <c r="T93" s="11" t="s">
        <v>79</v>
      </c>
      <c r="U93" s="8" t="s">
        <v>61</v>
      </c>
      <c r="V93" s="8" t="s">
        <v>62</v>
      </c>
      <c r="W93" s="8" t="s">
        <v>63</v>
      </c>
      <c r="X93" s="8" t="s">
        <v>61</v>
      </c>
      <c r="Y93" s="8" t="s">
        <v>62</v>
      </c>
      <c r="Z93" s="8">
        <v>26671</v>
      </c>
      <c r="AA93" s="8">
        <v>200005426</v>
      </c>
      <c r="AB93" s="8">
        <v>140001941</v>
      </c>
      <c r="AC93" s="8" t="s">
        <v>52</v>
      </c>
      <c r="AD93" s="8" t="s">
        <v>52</v>
      </c>
      <c r="AE93" s="8" t="s">
        <v>64</v>
      </c>
      <c r="AF93" s="8" t="s">
        <v>65</v>
      </c>
      <c r="AG93" s="9" t="s">
        <v>66</v>
      </c>
      <c r="AH93" s="9" t="s">
        <v>66</v>
      </c>
      <c r="AI93" s="8" t="s">
        <v>52</v>
      </c>
      <c r="AJ93" s="8">
        <v>90443554</v>
      </c>
      <c r="AK93" s="8" t="s">
        <v>67</v>
      </c>
      <c r="AL93" s="8" t="s">
        <v>68</v>
      </c>
      <c r="AM93" s="8" t="s">
        <v>69</v>
      </c>
      <c r="AN93" s="8" t="s">
        <v>70</v>
      </c>
      <c r="AO93" s="8" t="s">
        <v>71</v>
      </c>
      <c r="AP93" s="8" t="s">
        <v>72</v>
      </c>
      <c r="AQ93" s="8" t="s">
        <v>61</v>
      </c>
      <c r="AR93" s="8" t="s">
        <v>62</v>
      </c>
      <c r="AS93" s="8" t="s">
        <v>73</v>
      </c>
      <c r="AT93" s="8" t="s">
        <v>73</v>
      </c>
      <c r="AU93" s="8" t="s">
        <v>61</v>
      </c>
      <c r="AV93" s="8" t="s">
        <v>74</v>
      </c>
    </row>
    <row r="94" spans="1:48" ht="15.6">
      <c r="A94" s="3">
        <v>93</v>
      </c>
      <c r="B94" s="4">
        <v>311490003398</v>
      </c>
      <c r="C94" s="4">
        <v>311202004694</v>
      </c>
      <c r="D94" s="4" t="s">
        <v>48</v>
      </c>
      <c r="E94" s="4" t="s">
        <v>49</v>
      </c>
      <c r="F94" s="4" t="s">
        <v>50</v>
      </c>
      <c r="G94" s="4" t="s">
        <v>51</v>
      </c>
      <c r="H94" s="4" t="s">
        <v>52</v>
      </c>
      <c r="I94" s="4" t="s">
        <v>53</v>
      </c>
      <c r="J94" s="4" t="s">
        <v>54</v>
      </c>
      <c r="K94" s="4" t="s">
        <v>54</v>
      </c>
      <c r="L94" s="4" t="s">
        <v>52</v>
      </c>
      <c r="M94" s="4" t="s">
        <v>55</v>
      </c>
      <c r="N94" s="5">
        <v>46069</v>
      </c>
      <c r="O94" s="5">
        <v>46054</v>
      </c>
      <c r="P94" s="4" t="s">
        <v>237</v>
      </c>
      <c r="Q94" s="4" t="s">
        <v>188</v>
      </c>
      <c r="R94" s="4" t="s">
        <v>238</v>
      </c>
      <c r="S94" s="6" t="s">
        <v>78</v>
      </c>
      <c r="T94" s="7" t="s">
        <v>79</v>
      </c>
      <c r="U94" s="8" t="s">
        <v>61</v>
      </c>
      <c r="V94" s="8" t="s">
        <v>62</v>
      </c>
      <c r="W94" s="8" t="s">
        <v>63</v>
      </c>
      <c r="X94" s="8" t="s">
        <v>61</v>
      </c>
      <c r="Y94" s="8" t="s">
        <v>62</v>
      </c>
      <c r="Z94" s="8">
        <v>26671</v>
      </c>
      <c r="AA94" s="8">
        <v>200005426</v>
      </c>
      <c r="AB94" s="8">
        <v>140001941</v>
      </c>
      <c r="AC94" s="8" t="s">
        <v>52</v>
      </c>
      <c r="AD94" s="8" t="s">
        <v>52</v>
      </c>
      <c r="AE94" s="8" t="s">
        <v>64</v>
      </c>
      <c r="AF94" s="8" t="s">
        <v>65</v>
      </c>
      <c r="AG94" s="9" t="s">
        <v>66</v>
      </c>
      <c r="AH94" s="9" t="s">
        <v>66</v>
      </c>
      <c r="AI94" s="8" t="s">
        <v>52</v>
      </c>
      <c r="AJ94" s="8">
        <v>90438390</v>
      </c>
      <c r="AK94" s="8" t="s">
        <v>67</v>
      </c>
      <c r="AL94" s="8" t="s">
        <v>68</v>
      </c>
      <c r="AM94" s="8" t="s">
        <v>69</v>
      </c>
      <c r="AN94" s="8" t="s">
        <v>70</v>
      </c>
      <c r="AO94" s="8" t="s">
        <v>71</v>
      </c>
      <c r="AP94" s="8" t="s">
        <v>72</v>
      </c>
      <c r="AQ94" s="8" t="s">
        <v>61</v>
      </c>
      <c r="AR94" s="8" t="s">
        <v>62</v>
      </c>
      <c r="AS94" s="8" t="s">
        <v>73</v>
      </c>
      <c r="AT94" s="8" t="s">
        <v>73</v>
      </c>
      <c r="AU94" s="8" t="s">
        <v>61</v>
      </c>
      <c r="AV94" s="8" t="s">
        <v>74</v>
      </c>
    </row>
    <row r="95" spans="1:48" ht="15.6">
      <c r="A95" s="3">
        <v>94</v>
      </c>
      <c r="B95" s="4">
        <v>311490003398</v>
      </c>
      <c r="C95" s="4">
        <v>311202004695</v>
      </c>
      <c r="D95" s="4" t="s">
        <v>48</v>
      </c>
      <c r="E95" s="4" t="s">
        <v>49</v>
      </c>
      <c r="F95" s="4" t="s">
        <v>50</v>
      </c>
      <c r="G95" s="4" t="s">
        <v>51</v>
      </c>
      <c r="H95" s="4" t="s">
        <v>52</v>
      </c>
      <c r="I95" s="4" t="s">
        <v>53</v>
      </c>
      <c r="J95" s="4" t="s">
        <v>54</v>
      </c>
      <c r="K95" s="4" t="s">
        <v>54</v>
      </c>
      <c r="L95" s="4" t="s">
        <v>52</v>
      </c>
      <c r="M95" s="4" t="s">
        <v>55</v>
      </c>
      <c r="N95" s="5">
        <v>46069</v>
      </c>
      <c r="O95" s="5">
        <v>46054</v>
      </c>
      <c r="P95" s="4" t="s">
        <v>239</v>
      </c>
      <c r="Q95" s="4" t="s">
        <v>188</v>
      </c>
      <c r="R95" s="4" t="s">
        <v>215</v>
      </c>
      <c r="S95" s="6" t="s">
        <v>78</v>
      </c>
      <c r="T95" s="7" t="s">
        <v>79</v>
      </c>
      <c r="U95" s="8" t="s">
        <v>61</v>
      </c>
      <c r="V95" s="8" t="s">
        <v>62</v>
      </c>
      <c r="W95" s="8" t="s">
        <v>63</v>
      </c>
      <c r="X95" s="8" t="s">
        <v>61</v>
      </c>
      <c r="Y95" s="8" t="s">
        <v>62</v>
      </c>
      <c r="Z95" s="8">
        <v>26671</v>
      </c>
      <c r="AA95" s="8">
        <v>200005426</v>
      </c>
      <c r="AB95" s="8">
        <v>140001941</v>
      </c>
      <c r="AC95" s="8" t="s">
        <v>52</v>
      </c>
      <c r="AD95" s="8" t="s">
        <v>52</v>
      </c>
      <c r="AE95" s="8" t="s">
        <v>64</v>
      </c>
      <c r="AF95" s="8" t="s">
        <v>65</v>
      </c>
      <c r="AG95" s="9" t="s">
        <v>66</v>
      </c>
      <c r="AH95" s="9" t="s">
        <v>66</v>
      </c>
      <c r="AI95" s="8" t="s">
        <v>52</v>
      </c>
      <c r="AJ95" s="8">
        <v>90448236</v>
      </c>
      <c r="AK95" s="8" t="s">
        <v>67</v>
      </c>
      <c r="AL95" s="8" t="s">
        <v>68</v>
      </c>
      <c r="AM95" s="8" t="s">
        <v>69</v>
      </c>
      <c r="AN95" s="8" t="s">
        <v>70</v>
      </c>
      <c r="AO95" s="8" t="s">
        <v>71</v>
      </c>
      <c r="AP95" s="8" t="s">
        <v>72</v>
      </c>
      <c r="AQ95" s="8" t="s">
        <v>61</v>
      </c>
      <c r="AR95" s="8" t="s">
        <v>62</v>
      </c>
      <c r="AS95" s="8" t="s">
        <v>73</v>
      </c>
      <c r="AT95" s="8" t="s">
        <v>73</v>
      </c>
      <c r="AU95" s="8" t="s">
        <v>61</v>
      </c>
      <c r="AV95" s="8" t="s">
        <v>74</v>
      </c>
    </row>
    <row r="96" spans="1:48" ht="15.6">
      <c r="A96" s="3">
        <v>95</v>
      </c>
      <c r="B96" s="4">
        <v>311490003398</v>
      </c>
      <c r="C96" s="4">
        <v>311202004697</v>
      </c>
      <c r="D96" s="4" t="s">
        <v>48</v>
      </c>
      <c r="E96" s="4" t="s">
        <v>49</v>
      </c>
      <c r="F96" s="4" t="s">
        <v>50</v>
      </c>
      <c r="G96" s="4" t="s">
        <v>51</v>
      </c>
      <c r="H96" s="4" t="s">
        <v>52</v>
      </c>
      <c r="I96" s="4" t="s">
        <v>53</v>
      </c>
      <c r="J96" s="4" t="s">
        <v>54</v>
      </c>
      <c r="K96" s="4" t="s">
        <v>54</v>
      </c>
      <c r="L96" s="4" t="s">
        <v>52</v>
      </c>
      <c r="M96" s="4" t="s">
        <v>55</v>
      </c>
      <c r="N96" s="5">
        <v>46069</v>
      </c>
      <c r="O96" s="5">
        <v>46054</v>
      </c>
      <c r="P96" s="4" t="s">
        <v>240</v>
      </c>
      <c r="Q96" s="4" t="s">
        <v>188</v>
      </c>
      <c r="R96" s="4" t="s">
        <v>199</v>
      </c>
      <c r="S96" s="6" t="s">
        <v>78</v>
      </c>
      <c r="T96" s="7" t="s">
        <v>79</v>
      </c>
      <c r="U96" s="8" t="s">
        <v>61</v>
      </c>
      <c r="V96" s="8" t="s">
        <v>62</v>
      </c>
      <c r="W96" s="8" t="s">
        <v>63</v>
      </c>
      <c r="X96" s="8" t="s">
        <v>61</v>
      </c>
      <c r="Y96" s="8" t="s">
        <v>62</v>
      </c>
      <c r="Z96" s="8">
        <v>26671</v>
      </c>
      <c r="AA96" s="8">
        <v>200005426</v>
      </c>
      <c r="AB96" s="8">
        <v>140001941</v>
      </c>
      <c r="AC96" s="8" t="s">
        <v>52</v>
      </c>
      <c r="AD96" s="8" t="s">
        <v>52</v>
      </c>
      <c r="AE96" s="8" t="s">
        <v>64</v>
      </c>
      <c r="AF96" s="8" t="s">
        <v>65</v>
      </c>
      <c r="AG96" s="9" t="s">
        <v>66</v>
      </c>
      <c r="AH96" s="9" t="s">
        <v>66</v>
      </c>
      <c r="AI96" s="8" t="s">
        <v>52</v>
      </c>
      <c r="AJ96" s="8">
        <v>90428439</v>
      </c>
      <c r="AK96" s="8" t="s">
        <v>67</v>
      </c>
      <c r="AL96" s="8" t="s">
        <v>68</v>
      </c>
      <c r="AM96" s="8" t="s">
        <v>69</v>
      </c>
      <c r="AN96" s="8" t="s">
        <v>70</v>
      </c>
      <c r="AO96" s="8" t="s">
        <v>71</v>
      </c>
      <c r="AP96" s="8" t="s">
        <v>72</v>
      </c>
      <c r="AQ96" s="8" t="s">
        <v>61</v>
      </c>
      <c r="AR96" s="8" t="s">
        <v>62</v>
      </c>
      <c r="AS96" s="8" t="s">
        <v>73</v>
      </c>
      <c r="AT96" s="8" t="s">
        <v>73</v>
      </c>
      <c r="AU96" s="8" t="s">
        <v>61</v>
      </c>
      <c r="AV96" s="8" t="s">
        <v>74</v>
      </c>
    </row>
    <row r="97" spans="1:48" ht="15.6">
      <c r="A97" s="3">
        <v>96</v>
      </c>
      <c r="B97" s="4">
        <v>311490003398</v>
      </c>
      <c r="C97" s="4">
        <v>311202004698</v>
      </c>
      <c r="D97" s="4" t="s">
        <v>48</v>
      </c>
      <c r="E97" s="4" t="s">
        <v>49</v>
      </c>
      <c r="F97" s="4" t="s">
        <v>50</v>
      </c>
      <c r="G97" s="4" t="s">
        <v>51</v>
      </c>
      <c r="H97" s="4" t="s">
        <v>52</v>
      </c>
      <c r="I97" s="4" t="s">
        <v>53</v>
      </c>
      <c r="J97" s="4" t="s">
        <v>54</v>
      </c>
      <c r="K97" s="4" t="s">
        <v>54</v>
      </c>
      <c r="L97" s="4" t="s">
        <v>52</v>
      </c>
      <c r="M97" s="4" t="s">
        <v>55</v>
      </c>
      <c r="N97" s="5">
        <v>46069</v>
      </c>
      <c r="O97" s="5">
        <v>46054</v>
      </c>
      <c r="P97" s="4" t="s">
        <v>241</v>
      </c>
      <c r="Q97" s="4" t="s">
        <v>188</v>
      </c>
      <c r="R97" s="4" t="s">
        <v>242</v>
      </c>
      <c r="S97" s="6" t="s">
        <v>78</v>
      </c>
      <c r="T97" s="7" t="s">
        <v>79</v>
      </c>
      <c r="U97" s="8" t="s">
        <v>61</v>
      </c>
      <c r="V97" s="8" t="s">
        <v>62</v>
      </c>
      <c r="W97" s="8" t="s">
        <v>63</v>
      </c>
      <c r="X97" s="8" t="s">
        <v>61</v>
      </c>
      <c r="Y97" s="8" t="s">
        <v>62</v>
      </c>
      <c r="Z97" s="8">
        <v>26671</v>
      </c>
      <c r="AA97" s="8">
        <v>200005426</v>
      </c>
      <c r="AB97" s="8">
        <v>140001941</v>
      </c>
      <c r="AC97" s="8" t="s">
        <v>52</v>
      </c>
      <c r="AD97" s="8" t="s">
        <v>52</v>
      </c>
      <c r="AE97" s="8" t="s">
        <v>64</v>
      </c>
      <c r="AF97" s="8" t="s">
        <v>65</v>
      </c>
      <c r="AG97" s="9" t="s">
        <v>66</v>
      </c>
      <c r="AH97" s="9" t="s">
        <v>66</v>
      </c>
      <c r="AI97" s="8" t="s">
        <v>52</v>
      </c>
      <c r="AJ97" s="8">
        <v>90363061</v>
      </c>
      <c r="AK97" s="8" t="s">
        <v>67</v>
      </c>
      <c r="AL97" s="8" t="s">
        <v>68</v>
      </c>
      <c r="AM97" s="8" t="s">
        <v>69</v>
      </c>
      <c r="AN97" s="8" t="s">
        <v>70</v>
      </c>
      <c r="AO97" s="8" t="s">
        <v>71</v>
      </c>
      <c r="AP97" s="8" t="s">
        <v>72</v>
      </c>
      <c r="AQ97" s="8" t="s">
        <v>61</v>
      </c>
      <c r="AR97" s="8" t="s">
        <v>62</v>
      </c>
      <c r="AS97" s="8" t="s">
        <v>73</v>
      </c>
      <c r="AT97" s="8" t="s">
        <v>73</v>
      </c>
      <c r="AU97" s="8" t="s">
        <v>61</v>
      </c>
      <c r="AV97" s="8" t="s">
        <v>74</v>
      </c>
    </row>
    <row r="98" spans="1:48" ht="15.6">
      <c r="A98" s="3">
        <v>97</v>
      </c>
      <c r="B98" s="4">
        <v>311490003398</v>
      </c>
      <c r="C98" s="4">
        <v>311202004699</v>
      </c>
      <c r="D98" s="4" t="s">
        <v>48</v>
      </c>
      <c r="E98" s="4" t="s">
        <v>49</v>
      </c>
      <c r="F98" s="4" t="s">
        <v>50</v>
      </c>
      <c r="G98" s="4" t="s">
        <v>51</v>
      </c>
      <c r="H98" s="4" t="s">
        <v>52</v>
      </c>
      <c r="I98" s="4" t="s">
        <v>53</v>
      </c>
      <c r="J98" s="4" t="s">
        <v>54</v>
      </c>
      <c r="K98" s="4" t="s">
        <v>54</v>
      </c>
      <c r="L98" s="4" t="s">
        <v>52</v>
      </c>
      <c r="M98" s="4" t="s">
        <v>55</v>
      </c>
      <c r="N98" s="5">
        <v>46069</v>
      </c>
      <c r="O98" s="5">
        <v>46054</v>
      </c>
      <c r="P98" s="4" t="s">
        <v>243</v>
      </c>
      <c r="Q98" s="4" t="s">
        <v>188</v>
      </c>
      <c r="R98" s="4" t="s">
        <v>220</v>
      </c>
      <c r="S98" s="6" t="s">
        <v>78</v>
      </c>
      <c r="T98" s="7" t="s">
        <v>79</v>
      </c>
      <c r="U98" s="8" t="s">
        <v>61</v>
      </c>
      <c r="V98" s="8" t="s">
        <v>62</v>
      </c>
      <c r="W98" s="8" t="s">
        <v>63</v>
      </c>
      <c r="X98" s="8" t="s">
        <v>61</v>
      </c>
      <c r="Y98" s="8" t="s">
        <v>62</v>
      </c>
      <c r="Z98" s="8">
        <v>26671</v>
      </c>
      <c r="AA98" s="8">
        <v>200005426</v>
      </c>
      <c r="AB98" s="8">
        <v>140001941</v>
      </c>
      <c r="AC98" s="8" t="s">
        <v>52</v>
      </c>
      <c r="AD98" s="8" t="s">
        <v>52</v>
      </c>
      <c r="AE98" s="8" t="s">
        <v>64</v>
      </c>
      <c r="AF98" s="8" t="s">
        <v>65</v>
      </c>
      <c r="AG98" s="9" t="s">
        <v>66</v>
      </c>
      <c r="AH98" s="9" t="s">
        <v>66</v>
      </c>
      <c r="AI98" s="8" t="s">
        <v>52</v>
      </c>
      <c r="AJ98" s="8">
        <v>90345277</v>
      </c>
      <c r="AK98" s="8" t="s">
        <v>67</v>
      </c>
      <c r="AL98" s="8" t="s">
        <v>244</v>
      </c>
      <c r="AM98" s="8" t="s">
        <v>69</v>
      </c>
      <c r="AN98" s="8" t="s">
        <v>70</v>
      </c>
      <c r="AO98" s="8" t="s">
        <v>71</v>
      </c>
      <c r="AP98" s="8" t="s">
        <v>72</v>
      </c>
      <c r="AQ98" s="8" t="s">
        <v>61</v>
      </c>
      <c r="AR98" s="8" t="s">
        <v>62</v>
      </c>
      <c r="AS98" s="8" t="s">
        <v>73</v>
      </c>
      <c r="AT98" s="8" t="s">
        <v>73</v>
      </c>
      <c r="AU98" s="8" t="s">
        <v>61</v>
      </c>
      <c r="AV98" s="8" t="s">
        <v>74</v>
      </c>
    </row>
    <row r="99" spans="1:48" ht="15.6">
      <c r="A99" s="3">
        <v>98</v>
      </c>
      <c r="B99" s="4">
        <v>311490003398</v>
      </c>
      <c r="C99" s="4">
        <v>311202004700</v>
      </c>
      <c r="D99" s="4" t="s">
        <v>48</v>
      </c>
      <c r="E99" s="4" t="s">
        <v>49</v>
      </c>
      <c r="F99" s="4" t="s">
        <v>50</v>
      </c>
      <c r="G99" s="4" t="s">
        <v>51</v>
      </c>
      <c r="H99" s="4" t="s">
        <v>52</v>
      </c>
      <c r="I99" s="4" t="s">
        <v>53</v>
      </c>
      <c r="J99" s="4" t="s">
        <v>54</v>
      </c>
      <c r="K99" s="4" t="s">
        <v>54</v>
      </c>
      <c r="L99" s="4" t="s">
        <v>52</v>
      </c>
      <c r="M99" s="4" t="s">
        <v>55</v>
      </c>
      <c r="N99" s="5">
        <v>46069</v>
      </c>
      <c r="O99" s="5">
        <v>46054</v>
      </c>
      <c r="P99" s="4" t="s">
        <v>245</v>
      </c>
      <c r="Q99" s="4" t="s">
        <v>188</v>
      </c>
      <c r="R99" s="4" t="s">
        <v>84</v>
      </c>
      <c r="S99" s="6" t="s">
        <v>78</v>
      </c>
      <c r="T99" s="7" t="s">
        <v>79</v>
      </c>
      <c r="U99" s="8" t="s">
        <v>61</v>
      </c>
      <c r="V99" s="8" t="s">
        <v>62</v>
      </c>
      <c r="W99" s="8" t="s">
        <v>63</v>
      </c>
      <c r="X99" s="8" t="s">
        <v>61</v>
      </c>
      <c r="Y99" s="8" t="s">
        <v>62</v>
      </c>
      <c r="Z99" s="8">
        <v>26671</v>
      </c>
      <c r="AA99" s="8">
        <v>200005426</v>
      </c>
      <c r="AB99" s="8">
        <v>140001941</v>
      </c>
      <c r="AC99" s="8" t="s">
        <v>52</v>
      </c>
      <c r="AD99" s="8" t="s">
        <v>52</v>
      </c>
      <c r="AE99" s="8" t="s">
        <v>64</v>
      </c>
      <c r="AF99" s="8" t="s">
        <v>65</v>
      </c>
      <c r="AG99" s="9" t="s">
        <v>66</v>
      </c>
      <c r="AH99" s="9" t="s">
        <v>66</v>
      </c>
      <c r="AI99" s="8" t="s">
        <v>52</v>
      </c>
      <c r="AJ99" s="8">
        <v>90376012</v>
      </c>
      <c r="AK99" s="8" t="s">
        <v>67</v>
      </c>
      <c r="AL99" s="8" t="s">
        <v>68</v>
      </c>
      <c r="AM99" s="8" t="s">
        <v>69</v>
      </c>
      <c r="AN99" s="8" t="s">
        <v>70</v>
      </c>
      <c r="AO99" s="8" t="s">
        <v>71</v>
      </c>
      <c r="AP99" s="8" t="s">
        <v>72</v>
      </c>
      <c r="AQ99" s="8" t="s">
        <v>61</v>
      </c>
      <c r="AR99" s="8" t="s">
        <v>62</v>
      </c>
      <c r="AS99" s="8" t="s">
        <v>73</v>
      </c>
      <c r="AT99" s="8" t="s">
        <v>73</v>
      </c>
      <c r="AU99" s="8" t="s">
        <v>61</v>
      </c>
      <c r="AV99" s="8" t="s">
        <v>74</v>
      </c>
    </row>
    <row r="100" spans="1:48" ht="15.6">
      <c r="A100" s="3">
        <v>99</v>
      </c>
      <c r="B100" s="4">
        <v>311490003398</v>
      </c>
      <c r="C100" s="4">
        <v>311202004701</v>
      </c>
      <c r="D100" s="4" t="s">
        <v>48</v>
      </c>
      <c r="E100" s="4" t="s">
        <v>49</v>
      </c>
      <c r="F100" s="4" t="s">
        <v>50</v>
      </c>
      <c r="G100" s="4" t="s">
        <v>51</v>
      </c>
      <c r="H100" s="4" t="s">
        <v>52</v>
      </c>
      <c r="I100" s="4" t="s">
        <v>53</v>
      </c>
      <c r="J100" s="4" t="s">
        <v>54</v>
      </c>
      <c r="K100" s="4" t="s">
        <v>54</v>
      </c>
      <c r="L100" s="4" t="s">
        <v>52</v>
      </c>
      <c r="M100" s="4" t="s">
        <v>55</v>
      </c>
      <c r="N100" s="5">
        <v>46069</v>
      </c>
      <c r="O100" s="5">
        <v>46054</v>
      </c>
      <c r="P100" s="4" t="s">
        <v>246</v>
      </c>
      <c r="Q100" s="4" t="s">
        <v>188</v>
      </c>
      <c r="R100" s="4" t="s">
        <v>247</v>
      </c>
      <c r="S100" s="6" t="s">
        <v>78</v>
      </c>
      <c r="T100" s="7" t="s">
        <v>79</v>
      </c>
      <c r="U100" s="8" t="s">
        <v>61</v>
      </c>
      <c r="V100" s="8" t="s">
        <v>62</v>
      </c>
      <c r="W100" s="8" t="s">
        <v>63</v>
      </c>
      <c r="X100" s="8" t="s">
        <v>61</v>
      </c>
      <c r="Y100" s="8" t="s">
        <v>62</v>
      </c>
      <c r="Z100" s="8">
        <v>26671</v>
      </c>
      <c r="AA100" s="8">
        <v>200005426</v>
      </c>
      <c r="AB100" s="8">
        <v>140001941</v>
      </c>
      <c r="AC100" s="8" t="s">
        <v>52</v>
      </c>
      <c r="AD100" s="8" t="s">
        <v>52</v>
      </c>
      <c r="AE100" s="8" t="s">
        <v>64</v>
      </c>
      <c r="AF100" s="8" t="s">
        <v>65</v>
      </c>
      <c r="AG100" s="9" t="s">
        <v>66</v>
      </c>
      <c r="AH100" s="9" t="s">
        <v>66</v>
      </c>
      <c r="AI100" s="8" t="s">
        <v>52</v>
      </c>
      <c r="AJ100" s="8">
        <v>90455732</v>
      </c>
      <c r="AK100" s="8" t="s">
        <v>67</v>
      </c>
      <c r="AL100" s="8" t="s">
        <v>68</v>
      </c>
      <c r="AM100" s="8" t="s">
        <v>69</v>
      </c>
      <c r="AN100" s="8" t="s">
        <v>70</v>
      </c>
      <c r="AO100" s="8" t="s">
        <v>71</v>
      </c>
      <c r="AP100" s="8" t="s">
        <v>72</v>
      </c>
      <c r="AQ100" s="8" t="s">
        <v>61</v>
      </c>
      <c r="AR100" s="8" t="s">
        <v>62</v>
      </c>
      <c r="AS100" s="8" t="s">
        <v>73</v>
      </c>
      <c r="AT100" s="8" t="s">
        <v>73</v>
      </c>
      <c r="AU100" s="8" t="s">
        <v>61</v>
      </c>
      <c r="AV100" s="8" t="s">
        <v>74</v>
      </c>
    </row>
    <row r="101" spans="1:48" ht="15.6">
      <c r="A101" s="3">
        <v>100</v>
      </c>
      <c r="B101" s="4">
        <v>311490003398</v>
      </c>
      <c r="C101" s="4">
        <v>311202004702</v>
      </c>
      <c r="D101" s="4" t="s">
        <v>48</v>
      </c>
      <c r="E101" s="4" t="s">
        <v>49</v>
      </c>
      <c r="F101" s="4" t="s">
        <v>50</v>
      </c>
      <c r="G101" s="4" t="s">
        <v>51</v>
      </c>
      <c r="H101" s="4" t="s">
        <v>52</v>
      </c>
      <c r="I101" s="4" t="s">
        <v>53</v>
      </c>
      <c r="J101" s="4" t="s">
        <v>54</v>
      </c>
      <c r="K101" s="4" t="s">
        <v>54</v>
      </c>
      <c r="L101" s="4" t="s">
        <v>52</v>
      </c>
      <c r="M101" s="4" t="s">
        <v>55</v>
      </c>
      <c r="N101" s="5">
        <v>46069</v>
      </c>
      <c r="O101" s="5">
        <v>46054</v>
      </c>
      <c r="P101" s="4" t="s">
        <v>248</v>
      </c>
      <c r="Q101" s="4" t="s">
        <v>76</v>
      </c>
      <c r="R101" s="4" t="s">
        <v>247</v>
      </c>
      <c r="S101" s="6" t="s">
        <v>78</v>
      </c>
      <c r="T101" s="7" t="s">
        <v>79</v>
      </c>
      <c r="U101" s="8" t="s">
        <v>61</v>
      </c>
      <c r="V101" s="8" t="s">
        <v>62</v>
      </c>
      <c r="W101" s="8" t="s">
        <v>63</v>
      </c>
      <c r="X101" s="8" t="s">
        <v>61</v>
      </c>
      <c r="Y101" s="8" t="s">
        <v>62</v>
      </c>
      <c r="Z101" s="8">
        <v>26671</v>
      </c>
      <c r="AA101" s="8">
        <v>200005426</v>
      </c>
      <c r="AB101" s="8">
        <v>140001941</v>
      </c>
      <c r="AC101" s="8" t="s">
        <v>52</v>
      </c>
      <c r="AD101" s="8" t="s">
        <v>52</v>
      </c>
      <c r="AE101" s="8" t="s">
        <v>64</v>
      </c>
      <c r="AF101" s="8" t="s">
        <v>65</v>
      </c>
      <c r="AG101" s="9" t="s">
        <v>66</v>
      </c>
      <c r="AH101" s="9" t="s">
        <v>66</v>
      </c>
      <c r="AI101" s="8" t="s">
        <v>52</v>
      </c>
      <c r="AJ101" s="8">
        <v>90460025</v>
      </c>
      <c r="AK101" s="8" t="s">
        <v>67</v>
      </c>
      <c r="AL101" s="8" t="s">
        <v>68</v>
      </c>
      <c r="AM101" s="8" t="s">
        <v>69</v>
      </c>
      <c r="AN101" s="8" t="s">
        <v>70</v>
      </c>
      <c r="AO101" s="8" t="s">
        <v>71</v>
      </c>
      <c r="AP101" s="8" t="s">
        <v>72</v>
      </c>
      <c r="AQ101" s="8" t="s">
        <v>61</v>
      </c>
      <c r="AR101" s="8" t="s">
        <v>62</v>
      </c>
      <c r="AS101" s="8" t="s">
        <v>73</v>
      </c>
      <c r="AT101" s="8" t="s">
        <v>73</v>
      </c>
      <c r="AU101" s="8" t="s">
        <v>61</v>
      </c>
      <c r="AV101" s="8" t="s">
        <v>74</v>
      </c>
    </row>
    <row r="102" spans="1:48" ht="15.6">
      <c r="A102" s="3">
        <v>18</v>
      </c>
      <c r="B102" s="4">
        <v>311490003398</v>
      </c>
      <c r="C102" s="4">
        <v>311202004703</v>
      </c>
      <c r="D102" s="4" t="s">
        <v>52</v>
      </c>
      <c r="E102" s="4" t="s">
        <v>49</v>
      </c>
      <c r="F102" s="4" t="s">
        <v>50</v>
      </c>
      <c r="G102" s="4" t="s">
        <v>51</v>
      </c>
      <c r="H102" s="4" t="s">
        <v>52</v>
      </c>
      <c r="I102" s="4" t="s">
        <v>53</v>
      </c>
      <c r="J102" s="4" t="s">
        <v>54</v>
      </c>
      <c r="K102" s="4" t="s">
        <v>54</v>
      </c>
      <c r="L102" s="4" t="s">
        <v>52</v>
      </c>
      <c r="M102" s="4" t="s">
        <v>55</v>
      </c>
      <c r="N102" s="5">
        <v>46069</v>
      </c>
      <c r="O102" s="5">
        <v>46054</v>
      </c>
      <c r="P102" s="4" t="s">
        <v>249</v>
      </c>
      <c r="Q102" s="18" t="s">
        <v>109</v>
      </c>
      <c r="R102" s="4" t="s">
        <v>250</v>
      </c>
      <c r="S102" s="6" t="s">
        <v>59</v>
      </c>
      <c r="T102" s="7" t="s">
        <v>60</v>
      </c>
      <c r="U102" s="8" t="s">
        <v>61</v>
      </c>
      <c r="V102" s="8" t="s">
        <v>62</v>
      </c>
      <c r="W102" s="8" t="s">
        <v>63</v>
      </c>
      <c r="X102" s="8" t="s">
        <v>61</v>
      </c>
      <c r="Y102" s="8" t="s">
        <v>62</v>
      </c>
      <c r="Z102" s="8">
        <v>26671</v>
      </c>
      <c r="AA102" s="8">
        <v>200005426</v>
      </c>
      <c r="AB102" s="8">
        <v>140001941</v>
      </c>
      <c r="AC102" s="8" t="s">
        <v>52</v>
      </c>
      <c r="AD102" s="8" t="s">
        <v>52</v>
      </c>
      <c r="AE102" s="8" t="s">
        <v>64</v>
      </c>
      <c r="AF102" s="8" t="s">
        <v>65</v>
      </c>
      <c r="AG102" s="9" t="s">
        <v>66</v>
      </c>
      <c r="AH102" s="9" t="s">
        <v>66</v>
      </c>
      <c r="AI102" s="8" t="s">
        <v>52</v>
      </c>
      <c r="AJ102" s="8">
        <v>90391496</v>
      </c>
      <c r="AK102" s="8" t="s">
        <v>67</v>
      </c>
      <c r="AL102" s="8" t="s">
        <v>68</v>
      </c>
      <c r="AM102" s="8" t="s">
        <v>69</v>
      </c>
      <c r="AN102" s="8" t="s">
        <v>70</v>
      </c>
      <c r="AO102" s="8" t="s">
        <v>71</v>
      </c>
      <c r="AP102" s="8" t="s">
        <v>72</v>
      </c>
      <c r="AQ102" s="8" t="s">
        <v>61</v>
      </c>
      <c r="AR102" s="8" t="s">
        <v>62</v>
      </c>
      <c r="AS102" s="8" t="s">
        <v>73</v>
      </c>
      <c r="AT102" s="8" t="s">
        <v>73</v>
      </c>
      <c r="AU102" s="8" t="s">
        <v>61</v>
      </c>
      <c r="AV102" s="8" t="s">
        <v>74</v>
      </c>
    </row>
    <row r="103" spans="1:48" ht="15.6">
      <c r="A103" s="3">
        <v>19</v>
      </c>
      <c r="B103" s="4">
        <v>311490003398</v>
      </c>
      <c r="C103" s="4">
        <v>311202004704</v>
      </c>
      <c r="D103" s="4" t="s">
        <v>52</v>
      </c>
      <c r="E103" s="4" t="s">
        <v>49</v>
      </c>
      <c r="F103" s="4" t="s">
        <v>50</v>
      </c>
      <c r="G103" s="4" t="s">
        <v>51</v>
      </c>
      <c r="H103" s="4" t="s">
        <v>52</v>
      </c>
      <c r="I103" s="4" t="s">
        <v>53</v>
      </c>
      <c r="J103" s="4" t="s">
        <v>54</v>
      </c>
      <c r="K103" s="4" t="s">
        <v>54</v>
      </c>
      <c r="L103" s="4" t="s">
        <v>52</v>
      </c>
      <c r="M103" s="4" t="s">
        <v>55</v>
      </c>
      <c r="N103" s="5">
        <v>46069</v>
      </c>
      <c r="O103" s="5">
        <v>46054</v>
      </c>
      <c r="P103" s="4" t="s">
        <v>251</v>
      </c>
      <c r="Q103" s="18" t="s">
        <v>109</v>
      </c>
      <c r="R103" s="4" t="s">
        <v>252</v>
      </c>
      <c r="S103" s="6" t="s">
        <v>59</v>
      </c>
      <c r="T103" s="7" t="s">
        <v>60</v>
      </c>
      <c r="U103" s="8" t="s">
        <v>61</v>
      </c>
      <c r="V103" s="8" t="s">
        <v>62</v>
      </c>
      <c r="W103" s="8" t="s">
        <v>63</v>
      </c>
      <c r="X103" s="8" t="s">
        <v>61</v>
      </c>
      <c r="Y103" s="8" t="s">
        <v>62</v>
      </c>
      <c r="Z103" s="8">
        <v>26671</v>
      </c>
      <c r="AA103" s="8">
        <v>200005426</v>
      </c>
      <c r="AB103" s="8">
        <v>140001941</v>
      </c>
      <c r="AC103" s="8" t="s">
        <v>52</v>
      </c>
      <c r="AD103" s="8" t="s">
        <v>52</v>
      </c>
      <c r="AE103" s="8" t="s">
        <v>64</v>
      </c>
      <c r="AF103" s="8" t="s">
        <v>65</v>
      </c>
      <c r="AG103" s="9" t="s">
        <v>66</v>
      </c>
      <c r="AH103" s="9" t="s">
        <v>66</v>
      </c>
      <c r="AI103" s="8" t="s">
        <v>52</v>
      </c>
      <c r="AJ103" s="8">
        <v>90450178</v>
      </c>
      <c r="AK103" s="8" t="s">
        <v>67</v>
      </c>
      <c r="AL103" s="8" t="s">
        <v>68</v>
      </c>
      <c r="AM103" s="8" t="s">
        <v>69</v>
      </c>
      <c r="AN103" s="8" t="s">
        <v>70</v>
      </c>
      <c r="AO103" s="8" t="s">
        <v>71</v>
      </c>
      <c r="AP103" s="8" t="s">
        <v>72</v>
      </c>
      <c r="AQ103" s="8" t="s">
        <v>61</v>
      </c>
      <c r="AR103" s="8" t="s">
        <v>62</v>
      </c>
      <c r="AS103" s="8" t="s">
        <v>73</v>
      </c>
      <c r="AT103" s="8" t="s">
        <v>73</v>
      </c>
      <c r="AU103" s="8" t="s">
        <v>61</v>
      </c>
      <c r="AV103" s="8" t="s">
        <v>74</v>
      </c>
    </row>
    <row r="104" spans="1:48" ht="15.6">
      <c r="A104" s="3">
        <v>20</v>
      </c>
      <c r="B104" s="4">
        <v>311490003398</v>
      </c>
      <c r="C104" s="4">
        <v>311202004705</v>
      </c>
      <c r="D104" s="4" t="s">
        <v>52</v>
      </c>
      <c r="E104" s="4" t="s">
        <v>49</v>
      </c>
      <c r="F104" s="4" t="s">
        <v>50</v>
      </c>
      <c r="G104" s="4" t="s">
        <v>51</v>
      </c>
      <c r="H104" s="4" t="s">
        <v>52</v>
      </c>
      <c r="I104" s="4" t="s">
        <v>53</v>
      </c>
      <c r="J104" s="4" t="s">
        <v>54</v>
      </c>
      <c r="K104" s="4" t="s">
        <v>54</v>
      </c>
      <c r="L104" s="4" t="s">
        <v>52</v>
      </c>
      <c r="M104" s="4" t="s">
        <v>55</v>
      </c>
      <c r="N104" s="5">
        <v>46069</v>
      </c>
      <c r="O104" s="5">
        <v>46054</v>
      </c>
      <c r="P104" s="4" t="s">
        <v>253</v>
      </c>
      <c r="Q104" s="4" t="s">
        <v>76</v>
      </c>
      <c r="R104" s="4" t="s">
        <v>254</v>
      </c>
      <c r="S104" s="6" t="s">
        <v>59</v>
      </c>
      <c r="T104" s="11" t="s">
        <v>149</v>
      </c>
      <c r="U104" s="8" t="s">
        <v>61</v>
      </c>
      <c r="V104" s="8" t="s">
        <v>62</v>
      </c>
      <c r="W104" s="8" t="s">
        <v>63</v>
      </c>
      <c r="X104" s="8" t="s">
        <v>61</v>
      </c>
      <c r="Y104" s="8" t="s">
        <v>62</v>
      </c>
      <c r="Z104" s="8">
        <v>26671</v>
      </c>
      <c r="AA104" s="8">
        <v>200005426</v>
      </c>
      <c r="AB104" s="8">
        <v>140001941</v>
      </c>
      <c r="AC104" s="8" t="s">
        <v>52</v>
      </c>
      <c r="AD104" s="8" t="s">
        <v>52</v>
      </c>
      <c r="AE104" s="8" t="s">
        <v>64</v>
      </c>
      <c r="AF104" s="8" t="s">
        <v>65</v>
      </c>
      <c r="AG104" s="9" t="s">
        <v>66</v>
      </c>
      <c r="AH104" s="9" t="s">
        <v>66</v>
      </c>
      <c r="AI104" s="8" t="s">
        <v>52</v>
      </c>
      <c r="AJ104" s="8">
        <v>90400802</v>
      </c>
      <c r="AK104" s="8" t="s">
        <v>67</v>
      </c>
      <c r="AL104" s="8" t="s">
        <v>68</v>
      </c>
      <c r="AM104" s="8" t="s">
        <v>69</v>
      </c>
      <c r="AN104" s="8" t="s">
        <v>70</v>
      </c>
      <c r="AO104" s="8" t="s">
        <v>71</v>
      </c>
      <c r="AP104" s="8" t="s">
        <v>72</v>
      </c>
      <c r="AQ104" s="8" t="s">
        <v>61</v>
      </c>
      <c r="AR104" s="8" t="s">
        <v>62</v>
      </c>
      <c r="AS104" s="8" t="s">
        <v>73</v>
      </c>
      <c r="AT104" s="8" t="s">
        <v>73</v>
      </c>
      <c r="AU104" s="8" t="s">
        <v>61</v>
      </c>
      <c r="AV104" s="8" t="s">
        <v>74</v>
      </c>
    </row>
    <row r="105" spans="1:48" ht="15.6">
      <c r="A105" s="3">
        <v>104</v>
      </c>
      <c r="B105" s="4">
        <v>311490003398</v>
      </c>
      <c r="C105" s="4">
        <v>311610004839</v>
      </c>
      <c r="D105" s="4" t="s">
        <v>52</v>
      </c>
      <c r="E105" s="4" t="s">
        <v>49</v>
      </c>
      <c r="F105" s="4" t="s">
        <v>50</v>
      </c>
      <c r="G105" s="4" t="s">
        <v>51</v>
      </c>
      <c r="H105" s="4" t="s">
        <v>52</v>
      </c>
      <c r="I105" s="4" t="s">
        <v>53</v>
      </c>
      <c r="J105" s="4" t="s">
        <v>226</v>
      </c>
      <c r="K105" s="4" t="s">
        <v>227</v>
      </c>
      <c r="L105" s="4" t="s">
        <v>52</v>
      </c>
      <c r="M105" s="4" t="s">
        <v>55</v>
      </c>
      <c r="N105" s="5">
        <v>46069</v>
      </c>
      <c r="O105" s="5">
        <v>46054</v>
      </c>
      <c r="P105" s="4" t="s">
        <v>255</v>
      </c>
      <c r="Q105" s="19" t="s">
        <v>229</v>
      </c>
      <c r="R105" s="4" t="s">
        <v>256</v>
      </c>
      <c r="S105" s="6" t="s">
        <v>78</v>
      </c>
      <c r="T105" s="11" t="s">
        <v>79</v>
      </c>
      <c r="U105" s="8" t="s">
        <v>61</v>
      </c>
      <c r="V105" s="8" t="s">
        <v>62</v>
      </c>
      <c r="W105" s="8" t="s">
        <v>63</v>
      </c>
      <c r="X105" s="8" t="s">
        <v>61</v>
      </c>
      <c r="Y105" s="8" t="s">
        <v>62</v>
      </c>
      <c r="Z105" s="8">
        <v>26671</v>
      </c>
      <c r="AA105" s="8">
        <v>200005426</v>
      </c>
      <c r="AB105" s="8">
        <v>140001941</v>
      </c>
      <c r="AC105" s="8" t="s">
        <v>52</v>
      </c>
      <c r="AD105" s="8" t="s">
        <v>52</v>
      </c>
      <c r="AE105" s="8" t="s">
        <v>64</v>
      </c>
      <c r="AF105" s="8" t="s">
        <v>65</v>
      </c>
      <c r="AG105" s="9" t="s">
        <v>66</v>
      </c>
      <c r="AH105" s="9" t="s">
        <v>66</v>
      </c>
      <c r="AI105" s="8" t="s">
        <v>52</v>
      </c>
      <c r="AJ105" s="8">
        <v>90448238</v>
      </c>
      <c r="AK105" s="8" t="s">
        <v>67</v>
      </c>
      <c r="AL105" s="8" t="s">
        <v>68</v>
      </c>
      <c r="AM105" s="8" t="s">
        <v>69</v>
      </c>
      <c r="AN105" s="8" t="s">
        <v>70</v>
      </c>
      <c r="AO105" s="8" t="s">
        <v>71</v>
      </c>
      <c r="AP105" s="8" t="s">
        <v>72</v>
      </c>
      <c r="AQ105" s="8" t="s">
        <v>61</v>
      </c>
      <c r="AR105" s="8" t="s">
        <v>62</v>
      </c>
      <c r="AS105" s="8" t="s">
        <v>73</v>
      </c>
      <c r="AT105" s="8" t="s">
        <v>73</v>
      </c>
      <c r="AU105" s="8" t="s">
        <v>61</v>
      </c>
      <c r="AV105" s="8" t="s">
        <v>74</v>
      </c>
    </row>
    <row r="106" spans="1:48" ht="15.6">
      <c r="A106" s="3">
        <v>105</v>
      </c>
      <c r="B106" s="4">
        <v>311490003398</v>
      </c>
      <c r="C106" s="4">
        <v>311202004707</v>
      </c>
      <c r="D106" s="4" t="s">
        <v>52</v>
      </c>
      <c r="E106" s="4" t="s">
        <v>49</v>
      </c>
      <c r="F106" s="4" t="s">
        <v>50</v>
      </c>
      <c r="G106" s="4" t="s">
        <v>51</v>
      </c>
      <c r="H106" s="4" t="s">
        <v>52</v>
      </c>
      <c r="I106" s="4" t="s">
        <v>53</v>
      </c>
      <c r="J106" s="4" t="s">
        <v>54</v>
      </c>
      <c r="K106" s="4" t="s">
        <v>54</v>
      </c>
      <c r="L106" s="4" t="s">
        <v>52</v>
      </c>
      <c r="M106" s="4" t="s">
        <v>55</v>
      </c>
      <c r="N106" s="5">
        <v>46069</v>
      </c>
      <c r="O106" s="5">
        <v>46054</v>
      </c>
      <c r="P106" s="4" t="s">
        <v>257</v>
      </c>
      <c r="Q106" s="4" t="s">
        <v>188</v>
      </c>
      <c r="R106" s="4" t="s">
        <v>258</v>
      </c>
      <c r="S106" s="6" t="s">
        <v>78</v>
      </c>
      <c r="T106" s="11" t="s">
        <v>79</v>
      </c>
      <c r="U106" s="8" t="s">
        <v>61</v>
      </c>
      <c r="V106" s="8" t="s">
        <v>62</v>
      </c>
      <c r="W106" s="8" t="s">
        <v>63</v>
      </c>
      <c r="X106" s="8" t="s">
        <v>61</v>
      </c>
      <c r="Y106" s="8" t="s">
        <v>62</v>
      </c>
      <c r="Z106" s="8">
        <v>26671</v>
      </c>
      <c r="AA106" s="8">
        <v>200005426</v>
      </c>
      <c r="AB106" s="8">
        <v>140001941</v>
      </c>
      <c r="AC106" s="8" t="s">
        <v>52</v>
      </c>
      <c r="AD106" s="8" t="s">
        <v>52</v>
      </c>
      <c r="AE106" s="8" t="s">
        <v>64</v>
      </c>
      <c r="AF106" s="8" t="s">
        <v>65</v>
      </c>
      <c r="AG106" s="9" t="s">
        <v>66</v>
      </c>
      <c r="AH106" s="9" t="s">
        <v>66</v>
      </c>
      <c r="AI106" s="8" t="s">
        <v>52</v>
      </c>
      <c r="AJ106" s="8">
        <v>90443556</v>
      </c>
      <c r="AK106" s="8" t="s">
        <v>67</v>
      </c>
      <c r="AL106" s="8" t="s">
        <v>68</v>
      </c>
      <c r="AM106" s="8" t="s">
        <v>69</v>
      </c>
      <c r="AN106" s="8" t="s">
        <v>70</v>
      </c>
      <c r="AO106" s="8" t="s">
        <v>71</v>
      </c>
      <c r="AP106" s="8" t="s">
        <v>72</v>
      </c>
      <c r="AQ106" s="8" t="s">
        <v>61</v>
      </c>
      <c r="AR106" s="8" t="s">
        <v>62</v>
      </c>
      <c r="AS106" s="8" t="s">
        <v>73</v>
      </c>
      <c r="AT106" s="8" t="s">
        <v>73</v>
      </c>
      <c r="AU106" s="8" t="s">
        <v>61</v>
      </c>
      <c r="AV106" s="8" t="s">
        <v>74</v>
      </c>
    </row>
    <row r="107" spans="1:48" ht="15.6">
      <c r="A107" s="3">
        <v>21</v>
      </c>
      <c r="B107" s="4">
        <v>311490003398</v>
      </c>
      <c r="C107" s="4">
        <v>311202004708</v>
      </c>
      <c r="D107" s="4" t="s">
        <v>52</v>
      </c>
      <c r="E107" s="4" t="s">
        <v>49</v>
      </c>
      <c r="F107" s="4" t="s">
        <v>50</v>
      </c>
      <c r="G107" s="4" t="s">
        <v>51</v>
      </c>
      <c r="H107" s="4" t="s">
        <v>52</v>
      </c>
      <c r="I107" s="4" t="s">
        <v>53</v>
      </c>
      <c r="J107" s="4" t="s">
        <v>54</v>
      </c>
      <c r="K107" s="4" t="s">
        <v>54</v>
      </c>
      <c r="L107" s="4" t="s">
        <v>52</v>
      </c>
      <c r="M107" s="4" t="s">
        <v>55</v>
      </c>
      <c r="N107" s="5">
        <v>46069</v>
      </c>
      <c r="O107" s="5">
        <v>46054</v>
      </c>
      <c r="P107" s="4" t="s">
        <v>259</v>
      </c>
      <c r="Q107" s="4" t="s">
        <v>188</v>
      </c>
      <c r="R107" s="4" t="s">
        <v>234</v>
      </c>
      <c r="S107" s="6" t="s">
        <v>59</v>
      </c>
      <c r="T107" s="11" t="s">
        <v>145</v>
      </c>
      <c r="U107" s="8" t="s">
        <v>61</v>
      </c>
      <c r="V107" s="8" t="s">
        <v>62</v>
      </c>
      <c r="W107" s="8" t="s">
        <v>63</v>
      </c>
      <c r="X107" s="8" t="s">
        <v>61</v>
      </c>
      <c r="Y107" s="8" t="s">
        <v>62</v>
      </c>
      <c r="Z107" s="8">
        <v>26671</v>
      </c>
      <c r="AA107" s="8">
        <v>200005426</v>
      </c>
      <c r="AB107" s="8">
        <v>140001941</v>
      </c>
      <c r="AC107" s="8" t="s">
        <v>52</v>
      </c>
      <c r="AD107" s="8" t="s">
        <v>52</v>
      </c>
      <c r="AE107" s="8" t="s">
        <v>64</v>
      </c>
      <c r="AF107" s="8" t="s">
        <v>65</v>
      </c>
      <c r="AG107" s="9" t="s">
        <v>66</v>
      </c>
      <c r="AH107" s="9" t="s">
        <v>66</v>
      </c>
      <c r="AI107" s="8" t="s">
        <v>52</v>
      </c>
      <c r="AJ107" s="8">
        <v>90364255</v>
      </c>
      <c r="AK107" s="8" t="s">
        <v>67</v>
      </c>
      <c r="AL107" s="8" t="s">
        <v>68</v>
      </c>
      <c r="AM107" s="8" t="s">
        <v>69</v>
      </c>
      <c r="AN107" s="8" t="s">
        <v>70</v>
      </c>
      <c r="AO107" s="8" t="s">
        <v>71</v>
      </c>
      <c r="AP107" s="8" t="s">
        <v>72</v>
      </c>
      <c r="AQ107" s="8" t="s">
        <v>61</v>
      </c>
      <c r="AR107" s="8" t="s">
        <v>62</v>
      </c>
      <c r="AS107" s="8" t="s">
        <v>73</v>
      </c>
      <c r="AT107" s="8" t="s">
        <v>73</v>
      </c>
      <c r="AU107" s="8" t="s">
        <v>61</v>
      </c>
      <c r="AV107" s="8" t="s">
        <v>74</v>
      </c>
    </row>
    <row r="108" spans="1:48" ht="15.6">
      <c r="A108" s="3">
        <v>107</v>
      </c>
      <c r="B108" s="4">
        <v>311490003398</v>
      </c>
      <c r="C108" s="4">
        <v>311202004709</v>
      </c>
      <c r="D108" s="4" t="s">
        <v>52</v>
      </c>
      <c r="E108" s="4" t="s">
        <v>49</v>
      </c>
      <c r="F108" s="4" t="s">
        <v>50</v>
      </c>
      <c r="G108" s="4" t="s">
        <v>51</v>
      </c>
      <c r="H108" s="4" t="s">
        <v>52</v>
      </c>
      <c r="I108" s="4" t="s">
        <v>53</v>
      </c>
      <c r="J108" s="4" t="s">
        <v>54</v>
      </c>
      <c r="K108" s="4" t="s">
        <v>54</v>
      </c>
      <c r="L108" s="4" t="s">
        <v>52</v>
      </c>
      <c r="M108" s="4" t="s">
        <v>55</v>
      </c>
      <c r="N108" s="5">
        <v>46069</v>
      </c>
      <c r="O108" s="5">
        <v>46054</v>
      </c>
      <c r="P108" s="4" t="s">
        <v>260</v>
      </c>
      <c r="Q108" s="4" t="s">
        <v>188</v>
      </c>
      <c r="R108" s="4" t="s">
        <v>261</v>
      </c>
      <c r="S108" s="6" t="s">
        <v>78</v>
      </c>
      <c r="T108" s="11" t="s">
        <v>79</v>
      </c>
      <c r="U108" s="8" t="s">
        <v>61</v>
      </c>
      <c r="V108" s="8" t="s">
        <v>62</v>
      </c>
      <c r="W108" s="8" t="s">
        <v>63</v>
      </c>
      <c r="X108" s="8" t="s">
        <v>61</v>
      </c>
      <c r="Y108" s="8" t="s">
        <v>62</v>
      </c>
      <c r="Z108" s="8">
        <v>26671</v>
      </c>
      <c r="AA108" s="8">
        <v>200005426</v>
      </c>
      <c r="AB108" s="8">
        <v>140001941</v>
      </c>
      <c r="AC108" s="8" t="s">
        <v>52</v>
      </c>
      <c r="AD108" s="8" t="s">
        <v>52</v>
      </c>
      <c r="AE108" s="8" t="s">
        <v>64</v>
      </c>
      <c r="AF108" s="8" t="s">
        <v>65</v>
      </c>
      <c r="AG108" s="9" t="s">
        <v>66</v>
      </c>
      <c r="AH108" s="9" t="s">
        <v>66</v>
      </c>
      <c r="AI108" s="8" t="s">
        <v>52</v>
      </c>
      <c r="AJ108" s="8">
        <v>90448240</v>
      </c>
      <c r="AK108" s="8" t="s">
        <v>67</v>
      </c>
      <c r="AL108" s="8" t="s">
        <v>68</v>
      </c>
      <c r="AM108" s="8" t="s">
        <v>69</v>
      </c>
      <c r="AN108" s="8" t="s">
        <v>70</v>
      </c>
      <c r="AO108" s="8" t="s">
        <v>71</v>
      </c>
      <c r="AP108" s="8" t="s">
        <v>72</v>
      </c>
      <c r="AQ108" s="8" t="s">
        <v>61</v>
      </c>
      <c r="AR108" s="8" t="s">
        <v>62</v>
      </c>
      <c r="AS108" s="8" t="s">
        <v>73</v>
      </c>
      <c r="AT108" s="8" t="s">
        <v>73</v>
      </c>
      <c r="AU108" s="8" t="s">
        <v>61</v>
      </c>
      <c r="AV108" s="8" t="s">
        <v>74</v>
      </c>
    </row>
    <row r="109" spans="1:48" ht="15.6">
      <c r="A109" s="3">
        <v>108</v>
      </c>
      <c r="B109" s="4">
        <v>311490003398</v>
      </c>
      <c r="C109" s="4">
        <v>311202004710</v>
      </c>
      <c r="D109" s="4" t="s">
        <v>52</v>
      </c>
      <c r="E109" s="4" t="s">
        <v>49</v>
      </c>
      <c r="F109" s="4" t="s">
        <v>50</v>
      </c>
      <c r="G109" s="4" t="s">
        <v>51</v>
      </c>
      <c r="H109" s="4" t="s">
        <v>52</v>
      </c>
      <c r="I109" s="4" t="s">
        <v>53</v>
      </c>
      <c r="J109" s="4" t="s">
        <v>54</v>
      </c>
      <c r="K109" s="4" t="s">
        <v>54</v>
      </c>
      <c r="L109" s="4" t="s">
        <v>52</v>
      </c>
      <c r="M109" s="4" t="s">
        <v>55</v>
      </c>
      <c r="N109" s="5">
        <v>46069</v>
      </c>
      <c r="O109" s="5">
        <v>46054</v>
      </c>
      <c r="P109" s="4" t="s">
        <v>262</v>
      </c>
      <c r="Q109" s="4" t="s">
        <v>188</v>
      </c>
      <c r="R109" s="4" t="s">
        <v>263</v>
      </c>
      <c r="S109" s="6" t="s">
        <v>78</v>
      </c>
      <c r="T109" s="11" t="s">
        <v>79</v>
      </c>
      <c r="U109" s="8" t="s">
        <v>61</v>
      </c>
      <c r="V109" s="8" t="s">
        <v>62</v>
      </c>
      <c r="W109" s="8" t="s">
        <v>63</v>
      </c>
      <c r="X109" s="8" t="s">
        <v>61</v>
      </c>
      <c r="Y109" s="8" t="s">
        <v>62</v>
      </c>
      <c r="Z109" s="8">
        <v>26671</v>
      </c>
      <c r="AA109" s="8">
        <v>200005426</v>
      </c>
      <c r="AB109" s="8">
        <v>140001941</v>
      </c>
      <c r="AC109" s="8" t="s">
        <v>52</v>
      </c>
      <c r="AD109" s="8" t="s">
        <v>52</v>
      </c>
      <c r="AE109" s="8" t="s">
        <v>64</v>
      </c>
      <c r="AF109" s="8" t="s">
        <v>65</v>
      </c>
      <c r="AG109" s="9" t="s">
        <v>66</v>
      </c>
      <c r="AH109" s="9" t="s">
        <v>66</v>
      </c>
      <c r="AI109" s="8" t="s">
        <v>52</v>
      </c>
      <c r="AJ109" s="8">
        <v>90460027</v>
      </c>
      <c r="AK109" s="8" t="s">
        <v>67</v>
      </c>
      <c r="AL109" s="8" t="s">
        <v>68</v>
      </c>
      <c r="AM109" s="8" t="s">
        <v>69</v>
      </c>
      <c r="AN109" s="8" t="s">
        <v>70</v>
      </c>
      <c r="AO109" s="8" t="s">
        <v>71</v>
      </c>
      <c r="AP109" s="8" t="s">
        <v>72</v>
      </c>
      <c r="AQ109" s="8" t="s">
        <v>61</v>
      </c>
      <c r="AR109" s="8" t="s">
        <v>62</v>
      </c>
      <c r="AS109" s="8" t="s">
        <v>73</v>
      </c>
      <c r="AT109" s="8" t="s">
        <v>73</v>
      </c>
      <c r="AU109" s="8" t="s">
        <v>61</v>
      </c>
      <c r="AV109" s="8" t="s">
        <v>74</v>
      </c>
    </row>
    <row r="110" spans="1:48" ht="15.6">
      <c r="A110" s="3">
        <v>109</v>
      </c>
      <c r="B110" s="4">
        <v>311490003398</v>
      </c>
      <c r="C110" s="4">
        <v>311202004711</v>
      </c>
      <c r="D110" s="4" t="s">
        <v>52</v>
      </c>
      <c r="E110" s="4" t="s">
        <v>49</v>
      </c>
      <c r="F110" s="4" t="s">
        <v>50</v>
      </c>
      <c r="G110" s="4" t="s">
        <v>51</v>
      </c>
      <c r="H110" s="4" t="s">
        <v>52</v>
      </c>
      <c r="I110" s="4" t="s">
        <v>53</v>
      </c>
      <c r="J110" s="4" t="s">
        <v>54</v>
      </c>
      <c r="K110" s="4" t="s">
        <v>54</v>
      </c>
      <c r="L110" s="4" t="s">
        <v>52</v>
      </c>
      <c r="M110" s="4" t="s">
        <v>55</v>
      </c>
      <c r="N110" s="5">
        <v>46069</v>
      </c>
      <c r="O110" s="5">
        <v>46054</v>
      </c>
      <c r="P110" s="4" t="s">
        <v>264</v>
      </c>
      <c r="Q110" s="4" t="s">
        <v>188</v>
      </c>
      <c r="R110" s="4" t="s">
        <v>94</v>
      </c>
      <c r="S110" s="6" t="s">
        <v>78</v>
      </c>
      <c r="T110" s="11" t="s">
        <v>79</v>
      </c>
      <c r="U110" s="8" t="s">
        <v>61</v>
      </c>
      <c r="V110" s="8" t="s">
        <v>62</v>
      </c>
      <c r="W110" s="8" t="s">
        <v>63</v>
      </c>
      <c r="X110" s="8" t="s">
        <v>61</v>
      </c>
      <c r="Y110" s="8" t="s">
        <v>62</v>
      </c>
      <c r="Z110" s="8">
        <v>26671</v>
      </c>
      <c r="AA110" s="8">
        <v>200005426</v>
      </c>
      <c r="AB110" s="8">
        <v>140001941</v>
      </c>
      <c r="AC110" s="8" t="s">
        <v>52</v>
      </c>
      <c r="AD110" s="8" t="s">
        <v>52</v>
      </c>
      <c r="AE110" s="8" t="s">
        <v>64</v>
      </c>
      <c r="AF110" s="8" t="s">
        <v>65</v>
      </c>
      <c r="AG110" s="9" t="s">
        <v>66</v>
      </c>
      <c r="AH110" s="9" t="s">
        <v>66</v>
      </c>
      <c r="AI110" s="8" t="s">
        <v>52</v>
      </c>
      <c r="AJ110" s="8">
        <v>90437482</v>
      </c>
      <c r="AK110" s="8" t="s">
        <v>67</v>
      </c>
      <c r="AL110" s="8" t="s">
        <v>68</v>
      </c>
      <c r="AM110" s="8" t="s">
        <v>69</v>
      </c>
      <c r="AN110" s="8" t="s">
        <v>70</v>
      </c>
      <c r="AO110" s="8" t="s">
        <v>71</v>
      </c>
      <c r="AP110" s="8" t="s">
        <v>72</v>
      </c>
      <c r="AQ110" s="8" t="s">
        <v>61</v>
      </c>
      <c r="AR110" s="8" t="s">
        <v>62</v>
      </c>
      <c r="AS110" s="8" t="s">
        <v>73</v>
      </c>
      <c r="AT110" s="8" t="s">
        <v>73</v>
      </c>
      <c r="AU110" s="8" t="s">
        <v>61</v>
      </c>
      <c r="AV110" s="8" t="s">
        <v>74</v>
      </c>
    </row>
    <row r="111" spans="1:48" ht="15.6">
      <c r="A111" s="3">
        <v>110</v>
      </c>
      <c r="B111" s="4">
        <v>311490003398</v>
      </c>
      <c r="C111" s="4">
        <v>311202004712</v>
      </c>
      <c r="D111" s="4" t="s">
        <v>48</v>
      </c>
      <c r="E111" s="4" t="s">
        <v>49</v>
      </c>
      <c r="F111" s="4" t="s">
        <v>50</v>
      </c>
      <c r="G111" s="4" t="s">
        <v>51</v>
      </c>
      <c r="H111" s="4" t="s">
        <v>52</v>
      </c>
      <c r="I111" s="4" t="s">
        <v>53</v>
      </c>
      <c r="J111" s="4" t="s">
        <v>54</v>
      </c>
      <c r="K111" s="4" t="s">
        <v>54</v>
      </c>
      <c r="L111" s="4" t="s">
        <v>52</v>
      </c>
      <c r="M111" s="4" t="s">
        <v>55</v>
      </c>
      <c r="N111" s="5">
        <v>46069</v>
      </c>
      <c r="O111" s="5">
        <v>46054</v>
      </c>
      <c r="P111" s="4" t="s">
        <v>265</v>
      </c>
      <c r="Q111" s="4" t="s">
        <v>188</v>
      </c>
      <c r="R111" s="4" t="s">
        <v>91</v>
      </c>
      <c r="S111" s="6" t="s">
        <v>78</v>
      </c>
      <c r="T111" s="11" t="s">
        <v>79</v>
      </c>
      <c r="U111" s="8" t="s">
        <v>61</v>
      </c>
      <c r="V111" s="8" t="s">
        <v>62</v>
      </c>
      <c r="W111" s="8" t="s">
        <v>63</v>
      </c>
      <c r="X111" s="8" t="s">
        <v>61</v>
      </c>
      <c r="Y111" s="8" t="s">
        <v>62</v>
      </c>
      <c r="Z111" s="8">
        <v>26671</v>
      </c>
      <c r="AA111" s="8">
        <v>200005426</v>
      </c>
      <c r="AB111" s="8">
        <v>140001941</v>
      </c>
      <c r="AC111" s="8" t="s">
        <v>52</v>
      </c>
      <c r="AD111" s="8" t="s">
        <v>52</v>
      </c>
      <c r="AE111" s="8" t="s">
        <v>64</v>
      </c>
      <c r="AF111" s="8" t="s">
        <v>65</v>
      </c>
      <c r="AG111" s="9" t="s">
        <v>66</v>
      </c>
      <c r="AH111" s="9" t="s">
        <v>66</v>
      </c>
      <c r="AI111" s="8" t="s">
        <v>52</v>
      </c>
      <c r="AJ111" s="8">
        <v>90414838</v>
      </c>
      <c r="AK111" s="8" t="s">
        <v>67</v>
      </c>
      <c r="AL111" s="8" t="s">
        <v>68</v>
      </c>
      <c r="AM111" s="8" t="s">
        <v>69</v>
      </c>
      <c r="AN111" s="8" t="s">
        <v>70</v>
      </c>
      <c r="AO111" s="8" t="s">
        <v>71</v>
      </c>
      <c r="AP111" s="8" t="s">
        <v>72</v>
      </c>
      <c r="AQ111" s="8" t="s">
        <v>61</v>
      </c>
      <c r="AR111" s="8" t="s">
        <v>62</v>
      </c>
      <c r="AS111" s="8" t="s">
        <v>73</v>
      </c>
      <c r="AT111" s="8" t="s">
        <v>73</v>
      </c>
      <c r="AU111" s="8" t="s">
        <v>61</v>
      </c>
      <c r="AV111" s="8" t="s">
        <v>74</v>
      </c>
    </row>
    <row r="112" spans="1:48" ht="15.6">
      <c r="A112" s="3">
        <v>22</v>
      </c>
      <c r="B112" s="4">
        <v>311490003398</v>
      </c>
      <c r="C112" s="4">
        <v>311202004713</v>
      </c>
      <c r="D112" s="4" t="s">
        <v>52</v>
      </c>
      <c r="E112" s="4" t="s">
        <v>49</v>
      </c>
      <c r="F112" s="4" t="s">
        <v>50</v>
      </c>
      <c r="G112" s="4" t="s">
        <v>51</v>
      </c>
      <c r="H112" s="4" t="s">
        <v>52</v>
      </c>
      <c r="I112" s="4" t="s">
        <v>53</v>
      </c>
      <c r="J112" s="4" t="s">
        <v>54</v>
      </c>
      <c r="K112" s="4" t="s">
        <v>54</v>
      </c>
      <c r="L112" s="4" t="s">
        <v>52</v>
      </c>
      <c r="M112" s="4" t="s">
        <v>55</v>
      </c>
      <c r="N112" s="5">
        <v>46069</v>
      </c>
      <c r="O112" s="5">
        <v>46054</v>
      </c>
      <c r="P112" s="4" t="s">
        <v>266</v>
      </c>
      <c r="Q112" s="4" t="s">
        <v>76</v>
      </c>
      <c r="R112" s="4" t="s">
        <v>263</v>
      </c>
      <c r="S112" s="6" t="s">
        <v>59</v>
      </c>
      <c r="T112" s="11" t="s">
        <v>267</v>
      </c>
      <c r="U112" s="8" t="s">
        <v>61</v>
      </c>
      <c r="V112" s="8" t="s">
        <v>62</v>
      </c>
      <c r="W112" s="8" t="s">
        <v>63</v>
      </c>
      <c r="X112" s="8" t="s">
        <v>61</v>
      </c>
      <c r="Y112" s="8" t="s">
        <v>62</v>
      </c>
      <c r="Z112" s="8">
        <v>26671</v>
      </c>
      <c r="AA112" s="8">
        <v>200005426</v>
      </c>
      <c r="AB112" s="8">
        <v>140001941</v>
      </c>
      <c r="AC112" s="8" t="s">
        <v>52</v>
      </c>
      <c r="AD112" s="8" t="s">
        <v>52</v>
      </c>
      <c r="AE112" s="8" t="s">
        <v>64</v>
      </c>
      <c r="AF112" s="8" t="s">
        <v>65</v>
      </c>
      <c r="AG112" s="9" t="s">
        <v>66</v>
      </c>
      <c r="AH112" s="9" t="s">
        <v>66</v>
      </c>
      <c r="AI112" s="8" t="s">
        <v>52</v>
      </c>
      <c r="AJ112" s="8">
        <v>90412113</v>
      </c>
      <c r="AK112" s="8" t="s">
        <v>67</v>
      </c>
      <c r="AL112" s="8" t="s">
        <v>68</v>
      </c>
      <c r="AM112" s="8" t="s">
        <v>69</v>
      </c>
      <c r="AN112" s="8" t="s">
        <v>70</v>
      </c>
      <c r="AO112" s="8" t="s">
        <v>71</v>
      </c>
      <c r="AP112" s="8" t="s">
        <v>72</v>
      </c>
      <c r="AQ112" s="8" t="s">
        <v>61</v>
      </c>
      <c r="AR112" s="8" t="s">
        <v>62</v>
      </c>
      <c r="AS112" s="8" t="s">
        <v>73</v>
      </c>
      <c r="AT112" s="8" t="s">
        <v>73</v>
      </c>
      <c r="AU112" s="8" t="s">
        <v>61</v>
      </c>
      <c r="AV112" s="8" t="s">
        <v>74</v>
      </c>
    </row>
    <row r="113" spans="1:48" ht="15.6">
      <c r="A113" s="3">
        <v>112</v>
      </c>
      <c r="B113" s="4">
        <v>311490003398</v>
      </c>
      <c r="C113" s="4">
        <v>311202004714</v>
      </c>
      <c r="D113" s="4" t="s">
        <v>52</v>
      </c>
      <c r="E113" s="4" t="s">
        <v>49</v>
      </c>
      <c r="F113" s="4" t="s">
        <v>50</v>
      </c>
      <c r="G113" s="4" t="s">
        <v>51</v>
      </c>
      <c r="H113" s="4" t="s">
        <v>52</v>
      </c>
      <c r="I113" s="4" t="s">
        <v>53</v>
      </c>
      <c r="J113" s="4" t="s">
        <v>54</v>
      </c>
      <c r="K113" s="4" t="s">
        <v>54</v>
      </c>
      <c r="L113" s="4" t="s">
        <v>52</v>
      </c>
      <c r="M113" s="4" t="s">
        <v>55</v>
      </c>
      <c r="N113" s="5">
        <v>46069</v>
      </c>
      <c r="O113" s="5">
        <v>46054</v>
      </c>
      <c r="P113" s="4" t="s">
        <v>268</v>
      </c>
      <c r="Q113" s="18" t="s">
        <v>57</v>
      </c>
      <c r="R113" s="4" t="s">
        <v>269</v>
      </c>
      <c r="S113" s="6" t="s">
        <v>78</v>
      </c>
      <c r="T113" s="11" t="s">
        <v>79</v>
      </c>
      <c r="U113" s="8" t="s">
        <v>61</v>
      </c>
      <c r="V113" s="8" t="s">
        <v>62</v>
      </c>
      <c r="W113" s="8" t="s">
        <v>63</v>
      </c>
      <c r="X113" s="8" t="s">
        <v>61</v>
      </c>
      <c r="Y113" s="8" t="s">
        <v>62</v>
      </c>
      <c r="Z113" s="8">
        <v>26671</v>
      </c>
      <c r="AA113" s="8">
        <v>200005426</v>
      </c>
      <c r="AB113" s="8">
        <v>140001941</v>
      </c>
      <c r="AC113" s="8" t="s">
        <v>52</v>
      </c>
      <c r="AD113" s="8" t="s">
        <v>52</v>
      </c>
      <c r="AE113" s="8" t="s">
        <v>64</v>
      </c>
      <c r="AF113" s="8" t="s">
        <v>65</v>
      </c>
      <c r="AG113" s="9" t="s">
        <v>66</v>
      </c>
      <c r="AH113" s="9" t="s">
        <v>66</v>
      </c>
      <c r="AI113" s="8" t="s">
        <v>52</v>
      </c>
      <c r="AJ113" s="8">
        <v>90392663</v>
      </c>
      <c r="AK113" s="8" t="s">
        <v>67</v>
      </c>
      <c r="AL113" s="8" t="s">
        <v>68</v>
      </c>
      <c r="AM113" s="8" t="s">
        <v>69</v>
      </c>
      <c r="AN113" s="8" t="s">
        <v>70</v>
      </c>
      <c r="AO113" s="8" t="s">
        <v>71</v>
      </c>
      <c r="AP113" s="8" t="s">
        <v>72</v>
      </c>
      <c r="AQ113" s="8" t="s">
        <v>61</v>
      </c>
      <c r="AR113" s="8" t="s">
        <v>62</v>
      </c>
      <c r="AS113" s="8" t="s">
        <v>73</v>
      </c>
      <c r="AT113" s="8" t="s">
        <v>73</v>
      </c>
      <c r="AU113" s="8" t="s">
        <v>61</v>
      </c>
      <c r="AV113" s="8" t="s">
        <v>74</v>
      </c>
    </row>
    <row r="114" spans="1:48" ht="15.6">
      <c r="A114" s="3">
        <v>113</v>
      </c>
      <c r="B114" s="4">
        <v>311490003398</v>
      </c>
      <c r="C114" s="4">
        <v>311202004715</v>
      </c>
      <c r="D114" s="4" t="s">
        <v>52</v>
      </c>
      <c r="E114" s="4" t="s">
        <v>49</v>
      </c>
      <c r="F114" s="4" t="s">
        <v>50</v>
      </c>
      <c r="G114" s="4" t="s">
        <v>51</v>
      </c>
      <c r="H114" s="4" t="s">
        <v>52</v>
      </c>
      <c r="I114" s="4" t="s">
        <v>53</v>
      </c>
      <c r="J114" s="4" t="s">
        <v>54</v>
      </c>
      <c r="K114" s="4" t="s">
        <v>54</v>
      </c>
      <c r="L114" s="4" t="s">
        <v>52</v>
      </c>
      <c r="M114" s="4" t="s">
        <v>55</v>
      </c>
      <c r="N114" s="5">
        <v>46069</v>
      </c>
      <c r="O114" s="5">
        <v>46054</v>
      </c>
      <c r="P114" s="4" t="s">
        <v>270</v>
      </c>
      <c r="Q114" s="4" t="s">
        <v>188</v>
      </c>
      <c r="R114" s="4" t="s">
        <v>254</v>
      </c>
      <c r="S114" s="6" t="s">
        <v>78</v>
      </c>
      <c r="T114" s="11" t="s">
        <v>79</v>
      </c>
      <c r="U114" s="8" t="s">
        <v>61</v>
      </c>
      <c r="V114" s="8" t="s">
        <v>62</v>
      </c>
      <c r="W114" s="8" t="s">
        <v>63</v>
      </c>
      <c r="X114" s="8" t="s">
        <v>61</v>
      </c>
      <c r="Y114" s="8" t="s">
        <v>62</v>
      </c>
      <c r="Z114" s="8">
        <v>26671</v>
      </c>
      <c r="AA114" s="8">
        <v>200005426</v>
      </c>
      <c r="AB114" s="8">
        <v>140001941</v>
      </c>
      <c r="AC114" s="8" t="s">
        <v>52</v>
      </c>
      <c r="AD114" s="8" t="s">
        <v>52</v>
      </c>
      <c r="AE114" s="8" t="s">
        <v>64</v>
      </c>
      <c r="AF114" s="8" t="s">
        <v>65</v>
      </c>
      <c r="AG114" s="9" t="s">
        <v>66</v>
      </c>
      <c r="AH114" s="9" t="s">
        <v>66</v>
      </c>
      <c r="AI114" s="8" t="s">
        <v>52</v>
      </c>
      <c r="AJ114" s="8">
        <v>90400804</v>
      </c>
      <c r="AK114" s="8" t="s">
        <v>67</v>
      </c>
      <c r="AL114" s="8" t="s">
        <v>68</v>
      </c>
      <c r="AM114" s="8" t="s">
        <v>69</v>
      </c>
      <c r="AN114" s="8" t="s">
        <v>70</v>
      </c>
      <c r="AO114" s="8" t="s">
        <v>71</v>
      </c>
      <c r="AP114" s="8" t="s">
        <v>72</v>
      </c>
      <c r="AQ114" s="8" t="s">
        <v>61</v>
      </c>
      <c r="AR114" s="8" t="s">
        <v>62</v>
      </c>
      <c r="AS114" s="8" t="s">
        <v>73</v>
      </c>
      <c r="AT114" s="8" t="s">
        <v>73</v>
      </c>
      <c r="AU114" s="8" t="s">
        <v>61</v>
      </c>
      <c r="AV114" s="8" t="s">
        <v>74</v>
      </c>
    </row>
    <row r="115" spans="1:48" ht="15.6">
      <c r="A115" s="3">
        <v>114</v>
      </c>
      <c r="B115" s="4">
        <v>311490003398</v>
      </c>
      <c r="C115" s="4">
        <v>311202004716</v>
      </c>
      <c r="D115" s="4" t="s">
        <v>52</v>
      </c>
      <c r="E115" s="4" t="s">
        <v>49</v>
      </c>
      <c r="F115" s="4" t="s">
        <v>50</v>
      </c>
      <c r="G115" s="4" t="s">
        <v>51</v>
      </c>
      <c r="H115" s="4" t="s">
        <v>52</v>
      </c>
      <c r="I115" s="4" t="s">
        <v>53</v>
      </c>
      <c r="J115" s="4" t="s">
        <v>54</v>
      </c>
      <c r="K115" s="4" t="s">
        <v>54</v>
      </c>
      <c r="L115" s="4" t="s">
        <v>52</v>
      </c>
      <c r="M115" s="4" t="s">
        <v>55</v>
      </c>
      <c r="N115" s="5">
        <v>46069</v>
      </c>
      <c r="O115" s="5">
        <v>46054</v>
      </c>
      <c r="P115" s="4" t="s">
        <v>271</v>
      </c>
      <c r="Q115" s="4" t="s">
        <v>188</v>
      </c>
      <c r="R115" s="4" t="s">
        <v>77</v>
      </c>
      <c r="S115" s="6" t="s">
        <v>78</v>
      </c>
      <c r="T115" s="11" t="s">
        <v>79</v>
      </c>
      <c r="U115" s="8" t="s">
        <v>61</v>
      </c>
      <c r="V115" s="8" t="s">
        <v>62</v>
      </c>
      <c r="W115" s="8" t="s">
        <v>63</v>
      </c>
      <c r="X115" s="8" t="s">
        <v>61</v>
      </c>
      <c r="Y115" s="8" t="s">
        <v>62</v>
      </c>
      <c r="Z115" s="8">
        <v>26671</v>
      </c>
      <c r="AA115" s="8">
        <v>200005426</v>
      </c>
      <c r="AB115" s="8">
        <v>140001941</v>
      </c>
      <c r="AC115" s="8" t="s">
        <v>52</v>
      </c>
      <c r="AD115" s="8" t="s">
        <v>52</v>
      </c>
      <c r="AE115" s="8" t="s">
        <v>64</v>
      </c>
      <c r="AF115" s="8" t="s">
        <v>65</v>
      </c>
      <c r="AG115" s="9" t="s">
        <v>66</v>
      </c>
      <c r="AH115" s="9" t="s">
        <v>66</v>
      </c>
      <c r="AI115" s="8" t="s">
        <v>52</v>
      </c>
      <c r="AJ115" s="8">
        <v>90364256</v>
      </c>
      <c r="AK115" s="8" t="s">
        <v>67</v>
      </c>
      <c r="AL115" s="8" t="s">
        <v>68</v>
      </c>
      <c r="AM115" s="8" t="s">
        <v>69</v>
      </c>
      <c r="AN115" s="8" t="s">
        <v>70</v>
      </c>
      <c r="AO115" s="8" t="s">
        <v>71</v>
      </c>
      <c r="AP115" s="8" t="s">
        <v>72</v>
      </c>
      <c r="AQ115" s="8" t="s">
        <v>61</v>
      </c>
      <c r="AR115" s="8" t="s">
        <v>62</v>
      </c>
      <c r="AS115" s="8" t="s">
        <v>73</v>
      </c>
      <c r="AT115" s="8" t="s">
        <v>73</v>
      </c>
      <c r="AU115" s="8" t="s">
        <v>61</v>
      </c>
      <c r="AV115" s="8" t="s">
        <v>74</v>
      </c>
    </row>
    <row r="116" spans="1:48" ht="15.6">
      <c r="A116" s="3">
        <v>115</v>
      </c>
      <c r="B116" s="4">
        <v>311490003398</v>
      </c>
      <c r="C116" s="4">
        <v>311202004717</v>
      </c>
      <c r="D116" s="4" t="s">
        <v>52</v>
      </c>
      <c r="E116" s="4" t="s">
        <v>49</v>
      </c>
      <c r="F116" s="4" t="s">
        <v>50</v>
      </c>
      <c r="G116" s="4" t="s">
        <v>51</v>
      </c>
      <c r="H116" s="4" t="s">
        <v>52</v>
      </c>
      <c r="I116" s="4" t="s">
        <v>53</v>
      </c>
      <c r="J116" s="4" t="s">
        <v>54</v>
      </c>
      <c r="K116" s="4" t="s">
        <v>54</v>
      </c>
      <c r="L116" s="4" t="s">
        <v>52</v>
      </c>
      <c r="M116" s="4" t="s">
        <v>55</v>
      </c>
      <c r="N116" s="5">
        <v>46069</v>
      </c>
      <c r="O116" s="5">
        <v>46054</v>
      </c>
      <c r="P116" s="4" t="s">
        <v>272</v>
      </c>
      <c r="Q116" s="4" t="s">
        <v>188</v>
      </c>
      <c r="R116" s="4" t="s">
        <v>217</v>
      </c>
      <c r="S116" s="6" t="s">
        <v>78</v>
      </c>
      <c r="T116" s="11" t="s">
        <v>79</v>
      </c>
      <c r="U116" s="8" t="s">
        <v>61</v>
      </c>
      <c r="V116" s="8" t="s">
        <v>62</v>
      </c>
      <c r="W116" s="8" t="s">
        <v>63</v>
      </c>
      <c r="X116" s="8" t="s">
        <v>61</v>
      </c>
      <c r="Y116" s="8" t="s">
        <v>62</v>
      </c>
      <c r="Z116" s="8">
        <v>26671</v>
      </c>
      <c r="AA116" s="8">
        <v>200005426</v>
      </c>
      <c r="AB116" s="8">
        <v>140001941</v>
      </c>
      <c r="AC116" s="8" t="s">
        <v>52</v>
      </c>
      <c r="AD116" s="8" t="s">
        <v>52</v>
      </c>
      <c r="AE116" s="8" t="s">
        <v>64</v>
      </c>
      <c r="AF116" s="8" t="s">
        <v>65</v>
      </c>
      <c r="AG116" s="9" t="s">
        <v>66</v>
      </c>
      <c r="AH116" s="9" t="s">
        <v>66</v>
      </c>
      <c r="AI116" s="8" t="s">
        <v>52</v>
      </c>
      <c r="AJ116" s="8">
        <v>90443557</v>
      </c>
      <c r="AK116" s="8" t="s">
        <v>67</v>
      </c>
      <c r="AL116" s="8" t="s">
        <v>68</v>
      </c>
      <c r="AM116" s="8" t="s">
        <v>69</v>
      </c>
      <c r="AN116" s="8" t="s">
        <v>70</v>
      </c>
      <c r="AO116" s="8" t="s">
        <v>71</v>
      </c>
      <c r="AP116" s="8" t="s">
        <v>72</v>
      </c>
      <c r="AQ116" s="8" t="s">
        <v>61</v>
      </c>
      <c r="AR116" s="8" t="s">
        <v>62</v>
      </c>
      <c r="AS116" s="8" t="s">
        <v>73</v>
      </c>
      <c r="AT116" s="8" t="s">
        <v>73</v>
      </c>
      <c r="AU116" s="8" t="s">
        <v>61</v>
      </c>
      <c r="AV116" s="8" t="s">
        <v>74</v>
      </c>
    </row>
    <row r="117" spans="1:48" ht="15.6">
      <c r="A117" s="3">
        <v>116</v>
      </c>
      <c r="B117" s="4">
        <v>311490003398</v>
      </c>
      <c r="C117" s="4">
        <v>311202004718</v>
      </c>
      <c r="D117" s="4" t="s">
        <v>52</v>
      </c>
      <c r="E117" s="4" t="s">
        <v>49</v>
      </c>
      <c r="F117" s="4" t="s">
        <v>50</v>
      </c>
      <c r="G117" s="4" t="s">
        <v>51</v>
      </c>
      <c r="H117" s="4" t="s">
        <v>52</v>
      </c>
      <c r="I117" s="4" t="s">
        <v>53</v>
      </c>
      <c r="J117" s="4" t="s">
        <v>54</v>
      </c>
      <c r="K117" s="4" t="s">
        <v>54</v>
      </c>
      <c r="L117" s="4" t="s">
        <v>52</v>
      </c>
      <c r="M117" s="4" t="s">
        <v>55</v>
      </c>
      <c r="N117" s="5">
        <v>46069</v>
      </c>
      <c r="O117" s="5">
        <v>46054</v>
      </c>
      <c r="P117" s="4" t="s">
        <v>273</v>
      </c>
      <c r="Q117" s="4" t="s">
        <v>76</v>
      </c>
      <c r="R117" s="4" t="s">
        <v>261</v>
      </c>
      <c r="S117" s="6" t="s">
        <v>78</v>
      </c>
      <c r="T117" s="11" t="s">
        <v>79</v>
      </c>
      <c r="U117" s="8" t="s">
        <v>61</v>
      </c>
      <c r="V117" s="8" t="s">
        <v>62</v>
      </c>
      <c r="W117" s="8" t="s">
        <v>63</v>
      </c>
      <c r="X117" s="8" t="s">
        <v>61</v>
      </c>
      <c r="Y117" s="8" t="s">
        <v>62</v>
      </c>
      <c r="Z117" s="8">
        <v>26671</v>
      </c>
      <c r="AA117" s="8">
        <v>200005426</v>
      </c>
      <c r="AB117" s="8">
        <v>140001941</v>
      </c>
      <c r="AC117" s="8" t="s">
        <v>52</v>
      </c>
      <c r="AD117" s="8" t="s">
        <v>52</v>
      </c>
      <c r="AE117" s="8" t="s">
        <v>64</v>
      </c>
      <c r="AF117" s="8" t="s">
        <v>65</v>
      </c>
      <c r="AG117" s="9" t="s">
        <v>66</v>
      </c>
      <c r="AH117" s="9" t="s">
        <v>66</v>
      </c>
      <c r="AI117" s="8" t="s">
        <v>52</v>
      </c>
      <c r="AJ117" s="8">
        <v>90443559</v>
      </c>
      <c r="AK117" s="8" t="s">
        <v>67</v>
      </c>
      <c r="AL117" s="8" t="s">
        <v>68</v>
      </c>
      <c r="AM117" s="8" t="s">
        <v>69</v>
      </c>
      <c r="AN117" s="8" t="s">
        <v>70</v>
      </c>
      <c r="AO117" s="8" t="s">
        <v>71</v>
      </c>
      <c r="AP117" s="8" t="s">
        <v>72</v>
      </c>
      <c r="AQ117" s="8" t="s">
        <v>61</v>
      </c>
      <c r="AR117" s="8" t="s">
        <v>62</v>
      </c>
      <c r="AS117" s="8" t="s">
        <v>73</v>
      </c>
      <c r="AT117" s="8" t="s">
        <v>73</v>
      </c>
      <c r="AU117" s="8" t="s">
        <v>61</v>
      </c>
      <c r="AV117" s="8" t="s">
        <v>74</v>
      </c>
    </row>
    <row r="118" spans="1:48" ht="15.6">
      <c r="A118" s="3">
        <v>117</v>
      </c>
      <c r="B118" s="4">
        <v>311490003398</v>
      </c>
      <c r="C118" s="4">
        <v>311601002742</v>
      </c>
      <c r="D118" s="4" t="s">
        <v>48</v>
      </c>
      <c r="E118" s="4" t="s">
        <v>49</v>
      </c>
      <c r="F118" s="4" t="s">
        <v>50</v>
      </c>
      <c r="G118" s="4" t="s">
        <v>51</v>
      </c>
      <c r="H118" s="4" t="s">
        <v>52</v>
      </c>
      <c r="I118" s="4" t="s">
        <v>53</v>
      </c>
      <c r="J118" s="4" t="s">
        <v>106</v>
      </c>
      <c r="K118" s="4" t="s">
        <v>274</v>
      </c>
      <c r="L118" s="4" t="s">
        <v>52</v>
      </c>
      <c r="M118" s="4" t="s">
        <v>55</v>
      </c>
      <c r="N118" s="5">
        <v>46069</v>
      </c>
      <c r="O118" s="5">
        <v>46054</v>
      </c>
      <c r="P118" s="4" t="s">
        <v>63</v>
      </c>
      <c r="Q118" s="4"/>
      <c r="R118" s="4" t="s">
        <v>52</v>
      </c>
      <c r="S118" s="6" t="s">
        <v>78</v>
      </c>
      <c r="T118" s="11" t="s">
        <v>79</v>
      </c>
      <c r="U118" s="8" t="s">
        <v>61</v>
      </c>
      <c r="V118" s="8" t="s">
        <v>62</v>
      </c>
      <c r="W118" s="8" t="s">
        <v>63</v>
      </c>
      <c r="X118" s="8" t="s">
        <v>61</v>
      </c>
      <c r="Y118" s="8" t="s">
        <v>62</v>
      </c>
      <c r="Z118" s="8">
        <v>26671</v>
      </c>
      <c r="AA118" s="8">
        <v>200005426</v>
      </c>
      <c r="AB118" s="8">
        <v>140001941</v>
      </c>
      <c r="AC118" s="8" t="s">
        <v>52</v>
      </c>
      <c r="AD118" s="8" t="s">
        <v>52</v>
      </c>
      <c r="AE118" s="8" t="s">
        <v>64</v>
      </c>
      <c r="AF118" s="8" t="s">
        <v>65</v>
      </c>
      <c r="AG118" s="9" t="s">
        <v>66</v>
      </c>
      <c r="AH118" s="9" t="s">
        <v>66</v>
      </c>
      <c r="AI118" s="8" t="s">
        <v>52</v>
      </c>
      <c r="AJ118" s="8">
        <v>90448241</v>
      </c>
      <c r="AK118" s="8" t="s">
        <v>67</v>
      </c>
      <c r="AL118" s="8" t="s">
        <v>68</v>
      </c>
      <c r="AM118" s="8" t="s">
        <v>69</v>
      </c>
      <c r="AN118" s="8" t="s">
        <v>70</v>
      </c>
      <c r="AO118" s="8" t="s">
        <v>71</v>
      </c>
      <c r="AP118" s="8" t="s">
        <v>72</v>
      </c>
      <c r="AQ118" s="8" t="s">
        <v>61</v>
      </c>
      <c r="AR118" s="8" t="s">
        <v>62</v>
      </c>
      <c r="AS118" s="8" t="s">
        <v>73</v>
      </c>
      <c r="AT118" s="8" t="s">
        <v>73</v>
      </c>
      <c r="AU118" s="8" t="s">
        <v>61</v>
      </c>
      <c r="AV118" s="8" t="s">
        <v>74</v>
      </c>
    </row>
    <row r="119" spans="1:48" ht="15.6">
      <c r="A119" s="3">
        <v>23</v>
      </c>
      <c r="B119" s="4">
        <v>311490003398</v>
      </c>
      <c r="C119" s="4">
        <v>311202004720</v>
      </c>
      <c r="D119" s="4" t="s">
        <v>52</v>
      </c>
      <c r="E119" s="4" t="s">
        <v>49</v>
      </c>
      <c r="F119" s="4" t="s">
        <v>50</v>
      </c>
      <c r="G119" s="4" t="s">
        <v>51</v>
      </c>
      <c r="H119" s="4" t="s">
        <v>52</v>
      </c>
      <c r="I119" s="4" t="s">
        <v>53</v>
      </c>
      <c r="J119" s="4" t="s">
        <v>54</v>
      </c>
      <c r="K119" s="4" t="s">
        <v>54</v>
      </c>
      <c r="L119" s="4" t="s">
        <v>52</v>
      </c>
      <c r="M119" s="4" t="s">
        <v>55</v>
      </c>
      <c r="N119" s="5">
        <v>46069</v>
      </c>
      <c r="O119" s="5">
        <v>46054</v>
      </c>
      <c r="P119" s="4" t="s">
        <v>275</v>
      </c>
      <c r="Q119" s="4" t="s">
        <v>76</v>
      </c>
      <c r="R119" s="4" t="s">
        <v>258</v>
      </c>
      <c r="S119" s="6" t="s">
        <v>59</v>
      </c>
      <c r="T119" s="11" t="s">
        <v>151</v>
      </c>
      <c r="U119" s="8" t="s">
        <v>61</v>
      </c>
      <c r="V119" s="8" t="s">
        <v>62</v>
      </c>
      <c r="W119" s="8" t="s">
        <v>63</v>
      </c>
      <c r="X119" s="8" t="s">
        <v>61</v>
      </c>
      <c r="Y119" s="8" t="s">
        <v>62</v>
      </c>
      <c r="Z119" s="8">
        <v>26671</v>
      </c>
      <c r="AA119" s="8">
        <v>200005426</v>
      </c>
      <c r="AB119" s="8">
        <v>140001941</v>
      </c>
      <c r="AC119" s="8" t="s">
        <v>52</v>
      </c>
      <c r="AD119" s="8" t="s">
        <v>52</v>
      </c>
      <c r="AE119" s="8" t="s">
        <v>64</v>
      </c>
      <c r="AF119" s="8" t="s">
        <v>65</v>
      </c>
      <c r="AG119" s="9" t="s">
        <v>66</v>
      </c>
      <c r="AH119" s="9" t="s">
        <v>66</v>
      </c>
      <c r="AI119" s="8" t="s">
        <v>52</v>
      </c>
      <c r="AJ119" s="8">
        <v>90364257</v>
      </c>
      <c r="AK119" s="8" t="s">
        <v>67</v>
      </c>
      <c r="AL119" s="8" t="s">
        <v>68</v>
      </c>
      <c r="AM119" s="8" t="s">
        <v>69</v>
      </c>
      <c r="AN119" s="8" t="s">
        <v>70</v>
      </c>
      <c r="AO119" s="8" t="s">
        <v>71</v>
      </c>
      <c r="AP119" s="8" t="s">
        <v>72</v>
      </c>
      <c r="AQ119" s="8" t="s">
        <v>61</v>
      </c>
      <c r="AR119" s="8" t="s">
        <v>62</v>
      </c>
      <c r="AS119" s="8" t="s">
        <v>73</v>
      </c>
      <c r="AT119" s="8" t="s">
        <v>73</v>
      </c>
      <c r="AU119" s="8" t="s">
        <v>61</v>
      </c>
      <c r="AV119" s="8" t="s">
        <v>74</v>
      </c>
    </row>
    <row r="120" spans="1:48" ht="15.6">
      <c r="A120" s="3">
        <v>119</v>
      </c>
      <c r="B120" s="4">
        <v>311490003398</v>
      </c>
      <c r="C120" s="4">
        <v>311601002741</v>
      </c>
      <c r="D120" s="4" t="s">
        <v>48</v>
      </c>
      <c r="E120" s="4" t="s">
        <v>49</v>
      </c>
      <c r="F120" s="4" t="s">
        <v>50</v>
      </c>
      <c r="G120" s="4" t="s">
        <v>51</v>
      </c>
      <c r="H120" s="4" t="s">
        <v>52</v>
      </c>
      <c r="I120" s="4" t="s">
        <v>53</v>
      </c>
      <c r="J120" s="4" t="s">
        <v>106</v>
      </c>
      <c r="K120" s="4" t="s">
        <v>274</v>
      </c>
      <c r="L120" s="4" t="s">
        <v>52</v>
      </c>
      <c r="M120" s="4" t="s">
        <v>55</v>
      </c>
      <c r="N120" s="5">
        <v>46069</v>
      </c>
      <c r="O120" s="5">
        <v>46054</v>
      </c>
      <c r="P120" s="4" t="s">
        <v>63</v>
      </c>
      <c r="Q120" s="4"/>
      <c r="R120" s="4" t="s">
        <v>52</v>
      </c>
      <c r="S120" s="6" t="s">
        <v>78</v>
      </c>
      <c r="T120" s="11" t="s">
        <v>79</v>
      </c>
      <c r="U120" s="8" t="s">
        <v>61</v>
      </c>
      <c r="V120" s="8" t="s">
        <v>62</v>
      </c>
      <c r="W120" s="8" t="s">
        <v>63</v>
      </c>
      <c r="X120" s="8" t="s">
        <v>61</v>
      </c>
      <c r="Y120" s="8" t="s">
        <v>62</v>
      </c>
      <c r="Z120" s="8">
        <v>26671</v>
      </c>
      <c r="AA120" s="8">
        <v>200005426</v>
      </c>
      <c r="AB120" s="8">
        <v>140001941</v>
      </c>
      <c r="AC120" s="8" t="s">
        <v>52</v>
      </c>
      <c r="AD120" s="8" t="s">
        <v>52</v>
      </c>
      <c r="AE120" s="8" t="s">
        <v>64</v>
      </c>
      <c r="AF120" s="8" t="s">
        <v>65</v>
      </c>
      <c r="AG120" s="9" t="s">
        <v>66</v>
      </c>
      <c r="AH120" s="9" t="s">
        <v>66</v>
      </c>
      <c r="AI120" s="8" t="s">
        <v>52</v>
      </c>
      <c r="AJ120" s="8">
        <v>90364258</v>
      </c>
      <c r="AK120" s="8" t="s">
        <v>67</v>
      </c>
      <c r="AL120" s="8" t="s">
        <v>68</v>
      </c>
      <c r="AM120" s="8" t="s">
        <v>69</v>
      </c>
      <c r="AN120" s="8" t="s">
        <v>70</v>
      </c>
      <c r="AO120" s="8" t="s">
        <v>71</v>
      </c>
      <c r="AP120" s="8" t="s">
        <v>72</v>
      </c>
      <c r="AQ120" s="8" t="s">
        <v>61</v>
      </c>
      <c r="AR120" s="8" t="s">
        <v>62</v>
      </c>
      <c r="AS120" s="8" t="s">
        <v>73</v>
      </c>
      <c r="AT120" s="8" t="s">
        <v>73</v>
      </c>
      <c r="AU120" s="8" t="s">
        <v>61</v>
      </c>
      <c r="AV120" s="8" t="s">
        <v>74</v>
      </c>
    </row>
    <row r="121" spans="1:48" ht="15.6">
      <c r="A121" s="3">
        <v>120</v>
      </c>
      <c r="B121" s="4">
        <v>311490003398</v>
      </c>
      <c r="C121" s="4">
        <v>311303002150</v>
      </c>
      <c r="D121" s="4" t="s">
        <v>48</v>
      </c>
      <c r="E121" s="4" t="s">
        <v>49</v>
      </c>
      <c r="F121" s="4" t="s">
        <v>50</v>
      </c>
      <c r="G121" s="4" t="s">
        <v>51</v>
      </c>
      <c r="H121" s="4" t="s">
        <v>52</v>
      </c>
      <c r="I121" s="4" t="s">
        <v>53</v>
      </c>
      <c r="J121" s="4" t="s">
        <v>276</v>
      </c>
      <c r="K121" s="4" t="s">
        <v>277</v>
      </c>
      <c r="L121" s="4" t="s">
        <v>52</v>
      </c>
      <c r="M121" s="4" t="s">
        <v>55</v>
      </c>
      <c r="N121" s="5">
        <v>46069</v>
      </c>
      <c r="O121" s="5">
        <v>46054</v>
      </c>
      <c r="P121" s="4" t="s">
        <v>63</v>
      </c>
      <c r="Q121" s="4" t="s">
        <v>81</v>
      </c>
      <c r="R121" s="4" t="s">
        <v>91</v>
      </c>
      <c r="S121" s="6" t="s">
        <v>78</v>
      </c>
      <c r="T121" s="11" t="s">
        <v>79</v>
      </c>
      <c r="U121" s="8" t="s">
        <v>61</v>
      </c>
      <c r="V121" s="8" t="s">
        <v>62</v>
      </c>
      <c r="W121" s="8" t="s">
        <v>63</v>
      </c>
      <c r="X121" s="8" t="s">
        <v>61</v>
      </c>
      <c r="Y121" s="8" t="s">
        <v>62</v>
      </c>
      <c r="Z121" s="8">
        <v>26671</v>
      </c>
      <c r="AA121" s="8">
        <v>200005426</v>
      </c>
      <c r="AB121" s="8">
        <v>140001941</v>
      </c>
      <c r="AC121" s="8" t="s">
        <v>52</v>
      </c>
      <c r="AD121" s="8" t="s">
        <v>52</v>
      </c>
      <c r="AE121" s="8" t="s">
        <v>64</v>
      </c>
      <c r="AF121" s="8" t="s">
        <v>65</v>
      </c>
      <c r="AG121" s="9" t="s">
        <v>66</v>
      </c>
      <c r="AH121" s="9" t="s">
        <v>66</v>
      </c>
      <c r="AI121" s="8" t="s">
        <v>52</v>
      </c>
      <c r="AJ121" s="8">
        <v>90448243</v>
      </c>
      <c r="AK121" s="8" t="s">
        <v>67</v>
      </c>
      <c r="AL121" s="8" t="s">
        <v>68</v>
      </c>
      <c r="AM121" s="8" t="s">
        <v>69</v>
      </c>
      <c r="AN121" s="8" t="s">
        <v>70</v>
      </c>
      <c r="AO121" s="8" t="s">
        <v>71</v>
      </c>
      <c r="AP121" s="8" t="s">
        <v>72</v>
      </c>
      <c r="AQ121" s="8" t="s">
        <v>61</v>
      </c>
      <c r="AR121" s="8" t="s">
        <v>62</v>
      </c>
      <c r="AS121" s="8" t="s">
        <v>73</v>
      </c>
      <c r="AT121" s="8" t="s">
        <v>73</v>
      </c>
      <c r="AU121" s="8" t="s">
        <v>61</v>
      </c>
      <c r="AV121" s="8" t="s">
        <v>74</v>
      </c>
    </row>
    <row r="122" spans="1:48" ht="15.6">
      <c r="A122" s="3">
        <v>121</v>
      </c>
      <c r="B122" s="4">
        <v>311490003398</v>
      </c>
      <c r="C122" s="4">
        <v>311303002151</v>
      </c>
      <c r="D122" s="4" t="s">
        <v>48</v>
      </c>
      <c r="E122" s="4" t="s">
        <v>49</v>
      </c>
      <c r="F122" s="4" t="s">
        <v>50</v>
      </c>
      <c r="G122" s="4" t="s">
        <v>51</v>
      </c>
      <c r="H122" s="4" t="s">
        <v>52</v>
      </c>
      <c r="I122" s="4" t="s">
        <v>53</v>
      </c>
      <c r="J122" s="4" t="s">
        <v>276</v>
      </c>
      <c r="K122" s="4" t="s">
        <v>276</v>
      </c>
      <c r="L122" s="4" t="s">
        <v>52</v>
      </c>
      <c r="M122" s="4" t="s">
        <v>278</v>
      </c>
      <c r="N122" s="5">
        <v>46069</v>
      </c>
      <c r="O122" s="5">
        <v>46054</v>
      </c>
      <c r="P122" s="4" t="s">
        <v>63</v>
      </c>
      <c r="Q122" s="4" t="s">
        <v>81</v>
      </c>
      <c r="R122" s="4" t="s">
        <v>279</v>
      </c>
      <c r="S122" s="6" t="s">
        <v>78</v>
      </c>
      <c r="T122" s="11" t="s">
        <v>79</v>
      </c>
      <c r="U122" s="8" t="s">
        <v>61</v>
      </c>
      <c r="V122" s="8" t="s">
        <v>62</v>
      </c>
      <c r="W122" s="8" t="s">
        <v>63</v>
      </c>
      <c r="X122" s="8" t="s">
        <v>61</v>
      </c>
      <c r="Y122" s="8" t="s">
        <v>62</v>
      </c>
      <c r="Z122" s="8">
        <v>26671</v>
      </c>
      <c r="AA122" s="8">
        <v>200005426</v>
      </c>
      <c r="AB122" s="8">
        <v>140001941</v>
      </c>
      <c r="AC122" s="8" t="s">
        <v>52</v>
      </c>
      <c r="AD122" s="8" t="s">
        <v>52</v>
      </c>
      <c r="AE122" s="8" t="s">
        <v>64</v>
      </c>
      <c r="AF122" s="8" t="s">
        <v>65</v>
      </c>
      <c r="AG122" s="9" t="s">
        <v>66</v>
      </c>
      <c r="AH122" s="9" t="s">
        <v>66</v>
      </c>
      <c r="AI122" s="8" t="s">
        <v>52</v>
      </c>
      <c r="AJ122" s="8">
        <v>90361007</v>
      </c>
      <c r="AK122" s="8" t="s">
        <v>67</v>
      </c>
      <c r="AL122" s="8" t="s">
        <v>68</v>
      </c>
      <c r="AM122" s="8" t="s">
        <v>69</v>
      </c>
      <c r="AN122" s="8" t="s">
        <v>70</v>
      </c>
      <c r="AO122" s="8" t="s">
        <v>71</v>
      </c>
      <c r="AP122" s="8" t="s">
        <v>72</v>
      </c>
      <c r="AQ122" s="8" t="s">
        <v>61</v>
      </c>
      <c r="AR122" s="8" t="s">
        <v>62</v>
      </c>
      <c r="AS122" s="8" t="s">
        <v>73</v>
      </c>
      <c r="AT122" s="8" t="s">
        <v>73</v>
      </c>
      <c r="AU122" s="8" t="s">
        <v>61</v>
      </c>
      <c r="AV122" s="8" t="s">
        <v>74</v>
      </c>
    </row>
    <row r="123" spans="1:48" ht="15.6">
      <c r="A123" s="3">
        <v>122</v>
      </c>
      <c r="B123" s="4">
        <v>311490003398</v>
      </c>
      <c r="C123" s="4">
        <v>311202004724</v>
      </c>
      <c r="D123" s="4" t="s">
        <v>52</v>
      </c>
      <c r="E123" s="4" t="s">
        <v>49</v>
      </c>
      <c r="F123" s="4" t="s">
        <v>50</v>
      </c>
      <c r="G123" s="4" t="s">
        <v>51</v>
      </c>
      <c r="H123" s="4" t="s">
        <v>52</v>
      </c>
      <c r="I123" s="4" t="s">
        <v>53</v>
      </c>
      <c r="J123" s="4" t="s">
        <v>54</v>
      </c>
      <c r="K123" s="4" t="s">
        <v>54</v>
      </c>
      <c r="L123" s="4" t="s">
        <v>52</v>
      </c>
      <c r="M123" s="4" t="s">
        <v>55</v>
      </c>
      <c r="N123" s="5">
        <v>46069</v>
      </c>
      <c r="O123" s="5">
        <v>46054</v>
      </c>
      <c r="P123" s="4" t="s">
        <v>280</v>
      </c>
      <c r="Q123" s="4" t="s">
        <v>76</v>
      </c>
      <c r="R123" s="4" t="s">
        <v>281</v>
      </c>
      <c r="S123" s="6" t="s">
        <v>78</v>
      </c>
      <c r="T123" s="7" t="s">
        <v>79</v>
      </c>
      <c r="U123" s="8" t="s">
        <v>61</v>
      </c>
      <c r="V123" s="8" t="s">
        <v>62</v>
      </c>
      <c r="W123" s="8" t="s">
        <v>63</v>
      </c>
      <c r="X123" s="8" t="s">
        <v>61</v>
      </c>
      <c r="Y123" s="8" t="s">
        <v>62</v>
      </c>
      <c r="Z123" s="8">
        <v>26671</v>
      </c>
      <c r="AA123" s="8">
        <v>200005426</v>
      </c>
      <c r="AB123" s="8">
        <v>140001941</v>
      </c>
      <c r="AC123" s="8" t="s">
        <v>52</v>
      </c>
      <c r="AD123" s="8" t="s">
        <v>52</v>
      </c>
      <c r="AE123" s="8" t="s">
        <v>64</v>
      </c>
      <c r="AF123" s="8" t="s">
        <v>65</v>
      </c>
      <c r="AG123" s="9" t="s">
        <v>66</v>
      </c>
      <c r="AH123" s="9" t="s">
        <v>66</v>
      </c>
      <c r="AI123" s="8" t="s">
        <v>52</v>
      </c>
      <c r="AJ123" s="8">
        <v>90400806</v>
      </c>
      <c r="AK123" s="8" t="s">
        <v>67</v>
      </c>
      <c r="AL123" s="8" t="s">
        <v>68</v>
      </c>
      <c r="AM123" s="8" t="s">
        <v>69</v>
      </c>
      <c r="AN123" s="8" t="s">
        <v>70</v>
      </c>
      <c r="AO123" s="8" t="s">
        <v>71</v>
      </c>
      <c r="AP123" s="8" t="s">
        <v>72</v>
      </c>
      <c r="AQ123" s="8" t="s">
        <v>61</v>
      </c>
      <c r="AR123" s="8" t="s">
        <v>62</v>
      </c>
      <c r="AS123" s="8" t="s">
        <v>73</v>
      </c>
      <c r="AT123" s="8" t="s">
        <v>73</v>
      </c>
      <c r="AU123" s="8" t="s">
        <v>61</v>
      </c>
      <c r="AV123" s="8" t="s">
        <v>74</v>
      </c>
    </row>
    <row r="124" spans="1:48" ht="15.6">
      <c r="A124" s="3">
        <v>24</v>
      </c>
      <c r="B124" s="4">
        <v>311490003398</v>
      </c>
      <c r="C124" s="4">
        <v>311202004725</v>
      </c>
      <c r="D124" s="4" t="s">
        <v>52</v>
      </c>
      <c r="E124" s="4" t="s">
        <v>49</v>
      </c>
      <c r="F124" s="4" t="s">
        <v>50</v>
      </c>
      <c r="G124" s="4" t="s">
        <v>51</v>
      </c>
      <c r="H124" s="4" t="s">
        <v>52</v>
      </c>
      <c r="I124" s="4" t="s">
        <v>53</v>
      </c>
      <c r="J124" s="4" t="s">
        <v>54</v>
      </c>
      <c r="K124" s="4" t="s">
        <v>54</v>
      </c>
      <c r="L124" s="4" t="s">
        <v>52</v>
      </c>
      <c r="M124" s="4" t="s">
        <v>55</v>
      </c>
      <c r="N124" s="5">
        <v>46069</v>
      </c>
      <c r="O124" s="5">
        <v>46054</v>
      </c>
      <c r="P124" s="4" t="s">
        <v>282</v>
      </c>
      <c r="Q124" s="18" t="s">
        <v>109</v>
      </c>
      <c r="R124" s="4" t="s">
        <v>135</v>
      </c>
      <c r="S124" s="6" t="s">
        <v>59</v>
      </c>
      <c r="T124" s="7" t="s">
        <v>60</v>
      </c>
      <c r="U124" s="8" t="s">
        <v>61</v>
      </c>
      <c r="V124" s="8" t="s">
        <v>62</v>
      </c>
      <c r="W124" s="8" t="s">
        <v>63</v>
      </c>
      <c r="X124" s="8" t="s">
        <v>61</v>
      </c>
      <c r="Y124" s="8" t="s">
        <v>62</v>
      </c>
      <c r="Z124" s="8">
        <v>26671</v>
      </c>
      <c r="AA124" s="8">
        <v>200005426</v>
      </c>
      <c r="AB124" s="8">
        <v>140001941</v>
      </c>
      <c r="AC124" s="8" t="s">
        <v>52</v>
      </c>
      <c r="AD124" s="8" t="s">
        <v>52</v>
      </c>
      <c r="AE124" s="8" t="s">
        <v>64</v>
      </c>
      <c r="AF124" s="8" t="s">
        <v>65</v>
      </c>
      <c r="AG124" s="9" t="s">
        <v>66</v>
      </c>
      <c r="AH124" s="9" t="s">
        <v>66</v>
      </c>
      <c r="AI124" s="8" t="s">
        <v>52</v>
      </c>
      <c r="AJ124" s="8">
        <v>90400807</v>
      </c>
      <c r="AK124" s="8" t="s">
        <v>67</v>
      </c>
      <c r="AL124" s="8" t="s">
        <v>68</v>
      </c>
      <c r="AM124" s="8" t="s">
        <v>69</v>
      </c>
      <c r="AN124" s="8" t="s">
        <v>70</v>
      </c>
      <c r="AO124" s="8" t="s">
        <v>71</v>
      </c>
      <c r="AP124" s="8" t="s">
        <v>72</v>
      </c>
      <c r="AQ124" s="8" t="s">
        <v>61</v>
      </c>
      <c r="AR124" s="8" t="s">
        <v>62</v>
      </c>
      <c r="AS124" s="8" t="s">
        <v>73</v>
      </c>
      <c r="AT124" s="8" t="s">
        <v>73</v>
      </c>
      <c r="AU124" s="8" t="s">
        <v>61</v>
      </c>
      <c r="AV124" s="8" t="s">
        <v>74</v>
      </c>
    </row>
    <row r="125" spans="1:48" ht="15.6">
      <c r="A125" s="3">
        <v>25</v>
      </c>
      <c r="B125" s="4">
        <v>311490003398</v>
      </c>
      <c r="C125" s="4">
        <v>311202004726</v>
      </c>
      <c r="D125" s="4" t="s">
        <v>52</v>
      </c>
      <c r="E125" s="4" t="s">
        <v>49</v>
      </c>
      <c r="F125" s="4" t="s">
        <v>50</v>
      </c>
      <c r="G125" s="4" t="s">
        <v>51</v>
      </c>
      <c r="H125" s="4" t="s">
        <v>52</v>
      </c>
      <c r="I125" s="4" t="s">
        <v>53</v>
      </c>
      <c r="J125" s="4" t="s">
        <v>54</v>
      </c>
      <c r="K125" s="4" t="s">
        <v>54</v>
      </c>
      <c r="L125" s="4" t="s">
        <v>52</v>
      </c>
      <c r="M125" s="4" t="s">
        <v>55</v>
      </c>
      <c r="N125" s="5">
        <v>46069</v>
      </c>
      <c r="O125" s="5">
        <v>46054</v>
      </c>
      <c r="P125" s="4" t="s">
        <v>283</v>
      </c>
      <c r="Q125" s="18" t="s">
        <v>109</v>
      </c>
      <c r="R125" s="4" t="s">
        <v>135</v>
      </c>
      <c r="S125" s="6" t="s">
        <v>59</v>
      </c>
      <c r="T125" s="7" t="s">
        <v>60</v>
      </c>
      <c r="U125" s="8" t="s">
        <v>61</v>
      </c>
      <c r="V125" s="8" t="s">
        <v>62</v>
      </c>
      <c r="W125" s="8" t="s">
        <v>63</v>
      </c>
      <c r="X125" s="8" t="s">
        <v>61</v>
      </c>
      <c r="Y125" s="8" t="s">
        <v>62</v>
      </c>
      <c r="Z125" s="8">
        <v>26671</v>
      </c>
      <c r="AA125" s="8">
        <v>200005426</v>
      </c>
      <c r="AB125" s="8">
        <v>140001941</v>
      </c>
      <c r="AC125" s="8" t="s">
        <v>52</v>
      </c>
      <c r="AD125" s="8" t="s">
        <v>52</v>
      </c>
      <c r="AE125" s="8" t="s">
        <v>64</v>
      </c>
      <c r="AF125" s="8" t="s">
        <v>65</v>
      </c>
      <c r="AG125" s="9" t="s">
        <v>66</v>
      </c>
      <c r="AH125" s="9" t="s">
        <v>66</v>
      </c>
      <c r="AI125" s="8" t="s">
        <v>52</v>
      </c>
      <c r="AJ125" s="8">
        <v>90376014</v>
      </c>
      <c r="AK125" s="8" t="s">
        <v>67</v>
      </c>
      <c r="AL125" s="8" t="s">
        <v>68</v>
      </c>
      <c r="AM125" s="8" t="s">
        <v>69</v>
      </c>
      <c r="AN125" s="8" t="s">
        <v>70</v>
      </c>
      <c r="AO125" s="8" t="s">
        <v>71</v>
      </c>
      <c r="AP125" s="8" t="s">
        <v>72</v>
      </c>
      <c r="AQ125" s="8" t="s">
        <v>61</v>
      </c>
      <c r="AR125" s="8" t="s">
        <v>62</v>
      </c>
      <c r="AS125" s="8" t="s">
        <v>73</v>
      </c>
      <c r="AT125" s="8" t="s">
        <v>73</v>
      </c>
      <c r="AU125" s="8" t="s">
        <v>61</v>
      </c>
      <c r="AV125" s="8" t="s">
        <v>74</v>
      </c>
    </row>
    <row r="126" spans="1:48" ht="15.6" hidden="1">
      <c r="A126" s="22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4"/>
      <c r="Q126" s="23"/>
      <c r="R126" s="23"/>
      <c r="S126" s="25"/>
      <c r="T126" s="26"/>
    </row>
    <row r="127" spans="1:48" ht="15.6" hidden="1">
      <c r="A127" s="22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4"/>
      <c r="Q127" s="23"/>
      <c r="R127" s="23"/>
      <c r="S127" s="25"/>
      <c r="T127" s="26"/>
    </row>
    <row r="128" spans="1:48" ht="15.6" hidden="1">
      <c r="A128" s="22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4"/>
      <c r="Q128" s="23"/>
      <c r="R128" s="23"/>
      <c r="S128" s="25"/>
      <c r="T128" s="26"/>
    </row>
    <row r="129" spans="1:20" ht="15.6" hidden="1">
      <c r="A129" s="22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4"/>
      <c r="Q129" s="23"/>
      <c r="R129" s="23"/>
      <c r="S129" s="25"/>
      <c r="T129" s="26"/>
    </row>
    <row r="130" spans="1:20" ht="15.6" hidden="1">
      <c r="A130" s="22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4"/>
      <c r="Q130" s="23"/>
      <c r="R130" s="23"/>
      <c r="S130" s="25"/>
      <c r="T130" s="26"/>
    </row>
    <row r="131" spans="1:20" ht="15.6" hidden="1">
      <c r="A131" s="22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4"/>
      <c r="Q131" s="23"/>
      <c r="R131" s="23"/>
      <c r="S131" s="25"/>
      <c r="T131" s="26"/>
    </row>
    <row r="132" spans="1:20" ht="15.6" hidden="1">
      <c r="A132" s="22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4"/>
      <c r="Q132" s="23"/>
      <c r="R132" s="23"/>
      <c r="S132" s="25"/>
      <c r="T132" s="26"/>
    </row>
    <row r="133" spans="1:20" ht="15.6" hidden="1">
      <c r="A133" s="22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4"/>
      <c r="Q133" s="23"/>
      <c r="R133" s="23"/>
      <c r="S133" s="25"/>
      <c r="T133" s="26"/>
    </row>
    <row r="134" spans="1:20" ht="15.6" hidden="1">
      <c r="A134" s="22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4"/>
      <c r="Q134" s="23"/>
      <c r="R134" s="23"/>
      <c r="S134" s="25"/>
      <c r="T134" s="26"/>
    </row>
    <row r="135" spans="1:20" ht="15.6" hidden="1">
      <c r="A135" s="22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4"/>
      <c r="Q135" s="23"/>
      <c r="R135" s="23"/>
      <c r="S135" s="25"/>
      <c r="T135" s="26"/>
    </row>
    <row r="136" spans="1:20" ht="15.6" hidden="1">
      <c r="A136" s="22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4"/>
      <c r="Q136" s="23"/>
      <c r="R136" s="23"/>
      <c r="S136" s="25"/>
      <c r="T136" s="26"/>
    </row>
    <row r="137" spans="1:20" ht="15.6" hidden="1">
      <c r="A137" s="22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4"/>
      <c r="Q137" s="23"/>
      <c r="R137" s="23"/>
      <c r="S137" s="25"/>
      <c r="T137" s="26"/>
    </row>
    <row r="138" spans="1:20" ht="15.6" hidden="1">
      <c r="A138" s="22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4"/>
      <c r="Q138" s="23"/>
      <c r="R138" s="23"/>
      <c r="S138" s="25"/>
      <c r="T138" s="26"/>
    </row>
    <row r="139" spans="1:20" ht="15.6" hidden="1">
      <c r="A139" s="22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4"/>
      <c r="Q139" s="23"/>
      <c r="R139" s="23"/>
      <c r="S139" s="25"/>
      <c r="T139" s="26"/>
    </row>
    <row r="140" spans="1:20" ht="15.6" hidden="1">
      <c r="A140" s="22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4"/>
      <c r="Q140" s="23"/>
      <c r="R140" s="23"/>
      <c r="S140" s="25"/>
      <c r="T140" s="26"/>
    </row>
    <row r="141" spans="1:20" ht="15.6" hidden="1">
      <c r="A141" s="22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4"/>
      <c r="Q141" s="23"/>
      <c r="R141" s="23"/>
      <c r="S141" s="25"/>
      <c r="T141" s="26"/>
    </row>
    <row r="142" spans="1:20" ht="15.6" hidden="1">
      <c r="A142" s="22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4"/>
      <c r="Q142" s="23"/>
      <c r="R142" s="23"/>
      <c r="S142" s="25"/>
      <c r="T142" s="26"/>
    </row>
    <row r="143" spans="1:20" ht="15.6" hidden="1">
      <c r="A143" s="22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4"/>
      <c r="Q143" s="23"/>
      <c r="R143" s="23"/>
      <c r="S143" s="25"/>
      <c r="T143" s="26"/>
    </row>
    <row r="144" spans="1:20" ht="15.6" hidden="1">
      <c r="A144" s="22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4"/>
      <c r="Q144" s="23"/>
      <c r="R144" s="23"/>
      <c r="S144" s="25"/>
      <c r="T144" s="26"/>
    </row>
    <row r="145" spans="1:20" ht="15.6" hidden="1">
      <c r="A145" s="22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4"/>
      <c r="Q145" s="23"/>
      <c r="R145" s="23"/>
      <c r="S145" s="25"/>
      <c r="T145" s="26"/>
    </row>
    <row r="146" spans="1:20" ht="15.6" hidden="1">
      <c r="A146" s="22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4"/>
      <c r="Q146" s="23"/>
      <c r="R146" s="23"/>
      <c r="S146" s="25"/>
      <c r="T146" s="26"/>
    </row>
    <row r="147" spans="1:20" ht="15.6" hidden="1">
      <c r="A147" s="22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4"/>
      <c r="Q147" s="23"/>
      <c r="R147" s="23"/>
      <c r="S147" s="25"/>
      <c r="T147" s="26"/>
    </row>
    <row r="148" spans="1:20" ht="15.6" hidden="1">
      <c r="A148" s="22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4"/>
      <c r="Q148" s="23"/>
      <c r="R148" s="23"/>
      <c r="S148" s="25"/>
      <c r="T148" s="26"/>
    </row>
    <row r="149" spans="1:20" ht="15.6" hidden="1">
      <c r="A149" s="22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4"/>
      <c r="Q149" s="23"/>
      <c r="R149" s="23"/>
      <c r="S149" s="25"/>
      <c r="T149" s="26"/>
    </row>
    <row r="150" spans="1:20" ht="15.6" hidden="1">
      <c r="A150" s="22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4"/>
      <c r="Q150" s="23"/>
      <c r="R150" s="23"/>
      <c r="S150" s="25"/>
      <c r="T150" s="26"/>
    </row>
    <row r="151" spans="1:20" ht="15.6" hidden="1">
      <c r="A151" s="22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4"/>
      <c r="Q151" s="23"/>
      <c r="R151" s="23"/>
      <c r="S151" s="25"/>
      <c r="T151" s="26"/>
    </row>
    <row r="152" spans="1:20" ht="15.6" hidden="1">
      <c r="A152" s="22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4"/>
      <c r="Q152" s="23"/>
      <c r="R152" s="23"/>
      <c r="S152" s="25"/>
      <c r="T152" s="26"/>
    </row>
    <row r="153" spans="1:20" ht="15.6" hidden="1">
      <c r="A153" s="22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4"/>
      <c r="Q153" s="23"/>
      <c r="R153" s="23"/>
      <c r="S153" s="25"/>
      <c r="T153" s="26"/>
    </row>
    <row r="154" spans="1:20" ht="15.6" hidden="1">
      <c r="A154" s="22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4"/>
      <c r="Q154" s="23"/>
      <c r="R154" s="23"/>
      <c r="S154" s="25"/>
      <c r="T154" s="26"/>
    </row>
    <row r="155" spans="1:20" ht="15.6" hidden="1">
      <c r="A155" s="22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4"/>
      <c r="Q155" s="23"/>
      <c r="R155" s="23"/>
      <c r="S155" s="25"/>
      <c r="T155" s="26"/>
    </row>
    <row r="156" spans="1:20" ht="15.6" hidden="1">
      <c r="A156" s="22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4"/>
      <c r="Q156" s="23"/>
      <c r="R156" s="23"/>
      <c r="S156" s="25"/>
      <c r="T156" s="26"/>
    </row>
    <row r="157" spans="1:20" ht="15.6" hidden="1">
      <c r="A157" s="22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4"/>
      <c r="Q157" s="23"/>
      <c r="R157" s="23"/>
      <c r="S157" s="25"/>
      <c r="T157" s="26"/>
    </row>
    <row r="158" spans="1:20" ht="15.6" hidden="1">
      <c r="A158" s="22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4"/>
      <c r="Q158" s="23"/>
      <c r="R158" s="23"/>
      <c r="S158" s="25"/>
      <c r="T158" s="26"/>
    </row>
    <row r="159" spans="1:20" ht="15.6" hidden="1">
      <c r="A159" s="22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4"/>
      <c r="Q159" s="23"/>
      <c r="R159" s="23"/>
      <c r="S159" s="25"/>
      <c r="T159" s="26"/>
    </row>
    <row r="160" spans="1:20" ht="15.6" hidden="1">
      <c r="A160" s="22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4"/>
      <c r="Q160" s="23"/>
      <c r="R160" s="23"/>
      <c r="S160" s="25"/>
      <c r="T160" s="26"/>
    </row>
    <row r="161" spans="1:20" ht="15.6" hidden="1">
      <c r="A161" s="22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4"/>
      <c r="Q161" s="23"/>
      <c r="R161" s="23"/>
      <c r="S161" s="25"/>
      <c r="T161" s="26"/>
    </row>
    <row r="162" spans="1:20" ht="15.6" hidden="1">
      <c r="A162" s="22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4"/>
      <c r="Q162" s="23"/>
      <c r="R162" s="23"/>
      <c r="S162" s="25"/>
      <c r="T162" s="26"/>
    </row>
    <row r="163" spans="1:20" ht="15.6" hidden="1">
      <c r="A163" s="22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4"/>
      <c r="Q163" s="23"/>
      <c r="R163" s="23"/>
      <c r="S163" s="25"/>
      <c r="T163" s="26"/>
    </row>
    <row r="164" spans="1:20" ht="15.6" hidden="1">
      <c r="A164" s="22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4"/>
      <c r="Q164" s="23"/>
      <c r="R164" s="23"/>
      <c r="S164" s="25"/>
      <c r="T164" s="26"/>
    </row>
    <row r="165" spans="1:20" ht="15.6" hidden="1">
      <c r="A165" s="22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4"/>
      <c r="Q165" s="23"/>
      <c r="R165" s="23"/>
      <c r="S165" s="25"/>
      <c r="T165" s="26"/>
    </row>
    <row r="166" spans="1:20" ht="15.6" hidden="1">
      <c r="A166" s="22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4"/>
      <c r="Q166" s="23"/>
      <c r="R166" s="23"/>
      <c r="S166" s="25"/>
      <c r="T166" s="26"/>
    </row>
    <row r="167" spans="1:20" ht="15.6" hidden="1">
      <c r="A167" s="22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4"/>
      <c r="Q167" s="23"/>
      <c r="R167" s="23"/>
      <c r="S167" s="25"/>
      <c r="T167" s="26"/>
    </row>
    <row r="168" spans="1:20" ht="15.6" hidden="1">
      <c r="A168" s="22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4"/>
      <c r="Q168" s="23"/>
      <c r="R168" s="23"/>
      <c r="S168" s="25"/>
      <c r="T168" s="26"/>
    </row>
    <row r="169" spans="1:20" ht="15.6" hidden="1">
      <c r="A169" s="22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4"/>
      <c r="Q169" s="23"/>
      <c r="R169" s="23"/>
      <c r="S169" s="25"/>
      <c r="T169" s="26"/>
    </row>
    <row r="170" spans="1:20" ht="15.6" hidden="1">
      <c r="A170" s="22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4"/>
      <c r="Q170" s="23"/>
      <c r="R170" s="23"/>
      <c r="S170" s="25"/>
      <c r="T170" s="26"/>
    </row>
    <row r="171" spans="1:20" ht="15.6" hidden="1">
      <c r="A171" s="22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4"/>
      <c r="Q171" s="23"/>
      <c r="R171" s="23"/>
      <c r="S171" s="25"/>
      <c r="T171" s="26"/>
    </row>
    <row r="172" spans="1:20" ht="15.6" hidden="1">
      <c r="A172" s="22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4"/>
      <c r="Q172" s="23"/>
      <c r="R172" s="23"/>
      <c r="S172" s="25"/>
      <c r="T172" s="26"/>
    </row>
    <row r="173" spans="1:20" ht="15.6" hidden="1">
      <c r="A173" s="22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4"/>
      <c r="Q173" s="23"/>
      <c r="R173" s="23"/>
      <c r="S173" s="25"/>
      <c r="T173" s="26"/>
    </row>
    <row r="174" spans="1:20" ht="15.6" hidden="1">
      <c r="A174" s="22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4"/>
      <c r="Q174" s="23"/>
      <c r="R174" s="23"/>
      <c r="S174" s="25"/>
      <c r="T174" s="26"/>
    </row>
    <row r="175" spans="1:20" ht="15.6" hidden="1">
      <c r="A175" s="22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4"/>
      <c r="Q175" s="23"/>
      <c r="R175" s="23"/>
      <c r="S175" s="25"/>
      <c r="T175" s="26"/>
    </row>
    <row r="176" spans="1:20" ht="15.6" hidden="1">
      <c r="A176" s="22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4"/>
      <c r="Q176" s="23"/>
      <c r="R176" s="23"/>
      <c r="S176" s="25"/>
      <c r="T176" s="26"/>
    </row>
    <row r="177" spans="1:20" ht="15.6" hidden="1">
      <c r="A177" s="22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4"/>
      <c r="Q177" s="23"/>
      <c r="R177" s="23"/>
      <c r="S177" s="25"/>
      <c r="T177" s="26"/>
    </row>
    <row r="178" spans="1:20" ht="15.6" hidden="1">
      <c r="A178" s="22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4"/>
      <c r="Q178" s="23"/>
      <c r="R178" s="23"/>
      <c r="S178" s="25"/>
      <c r="T178" s="26"/>
    </row>
    <row r="179" spans="1:20" ht="15.6" hidden="1">
      <c r="A179" s="22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4"/>
      <c r="Q179" s="23"/>
      <c r="R179" s="23"/>
      <c r="S179" s="25"/>
      <c r="T179" s="26"/>
    </row>
    <row r="180" spans="1:20" ht="15.6" hidden="1">
      <c r="A180" s="22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4"/>
      <c r="Q180" s="23"/>
      <c r="R180" s="23"/>
      <c r="S180" s="25"/>
      <c r="T180" s="26"/>
    </row>
    <row r="181" spans="1:20" ht="15.6" hidden="1">
      <c r="A181" s="22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4"/>
      <c r="Q181" s="23"/>
      <c r="R181" s="23"/>
      <c r="S181" s="25"/>
      <c r="T181" s="26"/>
    </row>
    <row r="182" spans="1:20" ht="15.6" hidden="1">
      <c r="A182" s="22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4"/>
      <c r="Q182" s="23"/>
      <c r="R182" s="23"/>
      <c r="S182" s="25"/>
      <c r="T182" s="26"/>
    </row>
    <row r="183" spans="1:20" ht="15.6" hidden="1">
      <c r="A183" s="22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4"/>
      <c r="Q183" s="23"/>
      <c r="R183" s="23"/>
      <c r="S183" s="25"/>
      <c r="T183" s="26"/>
    </row>
    <row r="184" spans="1:20" ht="15.6" hidden="1">
      <c r="A184" s="22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4"/>
      <c r="Q184" s="23"/>
      <c r="R184" s="23"/>
      <c r="S184" s="25"/>
      <c r="T184" s="26"/>
    </row>
    <row r="185" spans="1:20" ht="15.6" hidden="1">
      <c r="A185" s="22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4"/>
      <c r="Q185" s="23"/>
      <c r="R185" s="23"/>
      <c r="S185" s="25"/>
      <c r="T185" s="26"/>
    </row>
    <row r="186" spans="1:20" ht="15.6" hidden="1">
      <c r="A186" s="22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4"/>
      <c r="Q186" s="23"/>
      <c r="R186" s="23"/>
      <c r="S186" s="25"/>
      <c r="T186" s="26"/>
    </row>
    <row r="187" spans="1:20" ht="15.6" hidden="1">
      <c r="A187" s="22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4"/>
      <c r="Q187" s="23"/>
      <c r="R187" s="23"/>
      <c r="S187" s="25"/>
      <c r="T187" s="26"/>
    </row>
    <row r="188" spans="1:20" ht="15.6" hidden="1">
      <c r="A188" s="22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4"/>
      <c r="Q188" s="23"/>
      <c r="R188" s="23"/>
      <c r="S188" s="25"/>
      <c r="T188" s="26"/>
    </row>
    <row r="189" spans="1:20" ht="15.6" hidden="1">
      <c r="A189" s="22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4"/>
      <c r="Q189" s="23"/>
      <c r="R189" s="23"/>
      <c r="S189" s="25"/>
      <c r="T189" s="26"/>
    </row>
    <row r="190" spans="1:20" ht="15.6" hidden="1">
      <c r="A190" s="22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4"/>
      <c r="Q190" s="23"/>
      <c r="R190" s="23"/>
      <c r="S190" s="25"/>
      <c r="T190" s="26"/>
    </row>
    <row r="191" spans="1:20" ht="15.6" hidden="1">
      <c r="A191" s="22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4"/>
      <c r="Q191" s="23"/>
      <c r="R191" s="23"/>
      <c r="S191" s="25"/>
      <c r="T191" s="26"/>
    </row>
    <row r="192" spans="1:20" ht="15.6" hidden="1">
      <c r="A192" s="22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4"/>
      <c r="Q192" s="23"/>
      <c r="R192" s="23"/>
      <c r="S192" s="25"/>
      <c r="T192" s="26"/>
    </row>
    <row r="193" spans="1:20" ht="15.6" hidden="1">
      <c r="A193" s="22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4"/>
      <c r="Q193" s="23"/>
      <c r="R193" s="23"/>
      <c r="S193" s="25"/>
      <c r="T193" s="26"/>
    </row>
    <row r="194" spans="1:20" ht="15.6" hidden="1">
      <c r="A194" s="22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4"/>
      <c r="Q194" s="23"/>
      <c r="R194" s="23"/>
      <c r="S194" s="25"/>
      <c r="T194" s="26"/>
    </row>
    <row r="195" spans="1:20" ht="15.6" hidden="1">
      <c r="A195" s="22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4"/>
      <c r="Q195" s="23"/>
      <c r="R195" s="23"/>
      <c r="S195" s="25"/>
      <c r="T195" s="26"/>
    </row>
    <row r="196" spans="1:20" ht="15.6" hidden="1">
      <c r="A196" s="22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4"/>
      <c r="Q196" s="23"/>
      <c r="R196" s="23"/>
      <c r="S196" s="25"/>
      <c r="T196" s="26"/>
    </row>
    <row r="197" spans="1:20" ht="15.6" hidden="1">
      <c r="A197" s="22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4"/>
      <c r="Q197" s="23"/>
      <c r="R197" s="23"/>
      <c r="S197" s="25"/>
      <c r="T197" s="26"/>
    </row>
    <row r="198" spans="1:20" ht="15.6" hidden="1">
      <c r="A198" s="22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4"/>
      <c r="Q198" s="23"/>
      <c r="R198" s="23"/>
      <c r="S198" s="25"/>
      <c r="T198" s="26"/>
    </row>
    <row r="199" spans="1:20" ht="15.6" hidden="1">
      <c r="A199" s="22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4"/>
      <c r="Q199" s="23"/>
      <c r="R199" s="23"/>
      <c r="S199" s="25"/>
      <c r="T199" s="26"/>
    </row>
    <row r="200" spans="1:20" ht="15.6" hidden="1">
      <c r="A200" s="22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4"/>
      <c r="Q200" s="23"/>
      <c r="R200" s="23"/>
      <c r="S200" s="25"/>
      <c r="T200" s="26"/>
    </row>
    <row r="201" spans="1:20" ht="15.6" hidden="1">
      <c r="A201" s="22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4"/>
      <c r="Q201" s="23"/>
      <c r="R201" s="23"/>
      <c r="S201" s="25"/>
      <c r="T201" s="26"/>
    </row>
    <row r="202" spans="1:20" ht="15.6" hidden="1">
      <c r="A202" s="22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4"/>
      <c r="Q202" s="23"/>
      <c r="R202" s="23"/>
      <c r="S202" s="25"/>
      <c r="T202" s="26"/>
    </row>
    <row r="203" spans="1:20" ht="15.6" hidden="1">
      <c r="A203" s="22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4"/>
      <c r="Q203" s="23"/>
      <c r="R203" s="23"/>
      <c r="S203" s="25"/>
      <c r="T203" s="26"/>
    </row>
    <row r="204" spans="1:20" ht="15.6" hidden="1">
      <c r="A204" s="22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4"/>
      <c r="Q204" s="23"/>
      <c r="R204" s="23"/>
      <c r="S204" s="25"/>
      <c r="T204" s="26"/>
    </row>
    <row r="205" spans="1:20" ht="15.6" hidden="1">
      <c r="A205" s="22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4"/>
      <c r="Q205" s="23"/>
      <c r="R205" s="23"/>
      <c r="S205" s="25"/>
      <c r="T205" s="26"/>
    </row>
    <row r="206" spans="1:20" ht="15.6" hidden="1">
      <c r="A206" s="22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4"/>
      <c r="Q206" s="23"/>
      <c r="R206" s="23"/>
      <c r="S206" s="25"/>
      <c r="T206" s="26"/>
    </row>
    <row r="207" spans="1:20" ht="15.6" hidden="1">
      <c r="A207" s="22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4"/>
      <c r="Q207" s="23"/>
      <c r="R207" s="23"/>
      <c r="S207" s="25"/>
      <c r="T207" s="26"/>
    </row>
    <row r="208" spans="1:20" ht="15.6" hidden="1">
      <c r="A208" s="22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4"/>
      <c r="Q208" s="23"/>
      <c r="R208" s="23"/>
      <c r="S208" s="25"/>
      <c r="T208" s="26"/>
    </row>
    <row r="209" spans="1:20" ht="15.6" hidden="1">
      <c r="A209" s="22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4"/>
      <c r="Q209" s="23"/>
      <c r="R209" s="23"/>
      <c r="S209" s="25"/>
      <c r="T209" s="26"/>
    </row>
    <row r="210" spans="1:20" ht="15.6" hidden="1">
      <c r="A210" s="22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4"/>
      <c r="Q210" s="23"/>
      <c r="R210" s="23"/>
      <c r="S210" s="25"/>
      <c r="T210" s="26"/>
    </row>
    <row r="211" spans="1:20" ht="15.6" hidden="1">
      <c r="A211" s="22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4"/>
      <c r="Q211" s="23"/>
      <c r="R211" s="23"/>
      <c r="S211" s="25"/>
      <c r="T211" s="26"/>
    </row>
    <row r="212" spans="1:20" ht="15.6" hidden="1">
      <c r="A212" s="22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4"/>
      <c r="Q212" s="23"/>
      <c r="R212" s="23"/>
      <c r="S212" s="25"/>
      <c r="T212" s="26"/>
    </row>
    <row r="213" spans="1:20" ht="15.6" hidden="1">
      <c r="A213" s="22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4"/>
      <c r="Q213" s="23"/>
      <c r="R213" s="23"/>
      <c r="S213" s="25"/>
      <c r="T213" s="26"/>
    </row>
    <row r="214" spans="1:20" ht="15.6" hidden="1">
      <c r="A214" s="22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4"/>
      <c r="Q214" s="23"/>
      <c r="R214" s="23"/>
      <c r="S214" s="25"/>
      <c r="T214" s="26"/>
    </row>
    <row r="215" spans="1:20" ht="15.6" hidden="1">
      <c r="A215" s="22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4"/>
      <c r="Q215" s="23"/>
      <c r="R215" s="23"/>
      <c r="S215" s="25"/>
      <c r="T215" s="26"/>
    </row>
    <row r="216" spans="1:20" ht="15.6" hidden="1">
      <c r="A216" s="22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4"/>
      <c r="Q216" s="23"/>
      <c r="R216" s="23"/>
      <c r="S216" s="25"/>
      <c r="T216" s="26"/>
    </row>
    <row r="217" spans="1:20" ht="15.6" hidden="1">
      <c r="A217" s="22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4"/>
      <c r="Q217" s="23"/>
      <c r="R217" s="23"/>
      <c r="S217" s="25"/>
      <c r="T217" s="26"/>
    </row>
    <row r="218" spans="1:20" ht="15.6" hidden="1">
      <c r="A218" s="22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4"/>
      <c r="Q218" s="23"/>
      <c r="R218" s="23"/>
      <c r="S218" s="25"/>
      <c r="T218" s="26"/>
    </row>
    <row r="219" spans="1:20" ht="15.6" hidden="1">
      <c r="A219" s="22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4"/>
      <c r="Q219" s="23"/>
      <c r="R219" s="23"/>
      <c r="S219" s="25"/>
      <c r="T219" s="26"/>
    </row>
    <row r="220" spans="1:20" ht="15.6" hidden="1">
      <c r="A220" s="22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4"/>
      <c r="Q220" s="23"/>
      <c r="R220" s="23"/>
      <c r="S220" s="25"/>
      <c r="T220" s="26"/>
    </row>
    <row r="221" spans="1:20" ht="15.6" hidden="1">
      <c r="A221" s="22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4"/>
      <c r="Q221" s="23"/>
      <c r="R221" s="23"/>
      <c r="S221" s="25"/>
      <c r="T221" s="26"/>
    </row>
    <row r="222" spans="1:20" ht="15.6" hidden="1">
      <c r="A222" s="22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4"/>
      <c r="Q222" s="23"/>
      <c r="R222" s="23"/>
      <c r="S222" s="25"/>
      <c r="T222" s="26"/>
    </row>
    <row r="223" spans="1:20" ht="15.6" hidden="1">
      <c r="A223" s="22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4"/>
      <c r="Q223" s="23"/>
      <c r="R223" s="23"/>
      <c r="S223" s="25"/>
      <c r="T223" s="26"/>
    </row>
    <row r="224" spans="1:20" ht="15.6" hidden="1">
      <c r="A224" s="22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4"/>
      <c r="Q224" s="23"/>
      <c r="R224" s="23"/>
      <c r="S224" s="25"/>
      <c r="T224" s="26"/>
    </row>
    <row r="225" spans="1:20" ht="15.6" hidden="1">
      <c r="A225" s="22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4"/>
      <c r="Q225" s="23"/>
      <c r="R225" s="23"/>
      <c r="S225" s="25"/>
      <c r="T225" s="26"/>
    </row>
    <row r="226" spans="1:20" ht="15.6" hidden="1">
      <c r="A226" s="22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4"/>
      <c r="Q226" s="23"/>
      <c r="R226" s="23"/>
      <c r="S226" s="25"/>
      <c r="T226" s="26"/>
    </row>
    <row r="227" spans="1:20" ht="15.6" hidden="1">
      <c r="A227" s="22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4"/>
      <c r="Q227" s="23"/>
      <c r="R227" s="23"/>
      <c r="S227" s="25"/>
      <c r="T227" s="26"/>
    </row>
    <row r="228" spans="1:20" ht="15.6" hidden="1">
      <c r="A228" s="22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4"/>
      <c r="Q228" s="23"/>
      <c r="R228" s="23"/>
      <c r="S228" s="25"/>
      <c r="T228" s="26"/>
    </row>
    <row r="229" spans="1:20" ht="15.6" hidden="1">
      <c r="A229" s="22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4"/>
      <c r="Q229" s="23"/>
      <c r="R229" s="23"/>
      <c r="S229" s="25"/>
      <c r="T229" s="26"/>
    </row>
    <row r="230" spans="1:20" ht="15.6" hidden="1">
      <c r="A230" s="22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4"/>
      <c r="Q230" s="23"/>
      <c r="R230" s="23"/>
      <c r="S230" s="25"/>
      <c r="T230" s="26"/>
    </row>
    <row r="231" spans="1:20" ht="15.6" hidden="1">
      <c r="A231" s="22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4"/>
      <c r="Q231" s="23"/>
      <c r="R231" s="23"/>
      <c r="S231" s="25"/>
      <c r="T231" s="26"/>
    </row>
    <row r="232" spans="1:20" ht="15.6" hidden="1">
      <c r="A232" s="22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4"/>
      <c r="Q232" s="23"/>
      <c r="R232" s="23"/>
      <c r="S232" s="25"/>
      <c r="T232" s="26"/>
    </row>
    <row r="233" spans="1:20" ht="15.6" hidden="1">
      <c r="A233" s="22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4"/>
      <c r="Q233" s="23"/>
      <c r="R233" s="23"/>
      <c r="S233" s="25"/>
      <c r="T233" s="26"/>
    </row>
    <row r="234" spans="1:20" ht="15.6" hidden="1">
      <c r="A234" s="22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4"/>
      <c r="Q234" s="23"/>
      <c r="R234" s="23"/>
      <c r="S234" s="25"/>
      <c r="T234" s="26"/>
    </row>
    <row r="235" spans="1:20" ht="15.6" hidden="1">
      <c r="A235" s="22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4"/>
      <c r="Q235" s="23"/>
      <c r="R235" s="23"/>
      <c r="S235" s="25"/>
      <c r="T235" s="26"/>
    </row>
    <row r="236" spans="1:20" ht="15.6" hidden="1">
      <c r="A236" s="22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4"/>
      <c r="Q236" s="23"/>
      <c r="R236" s="23"/>
      <c r="S236" s="25"/>
      <c r="T236" s="26"/>
    </row>
    <row r="237" spans="1:20" ht="15.6" hidden="1">
      <c r="A237" s="22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4"/>
      <c r="Q237" s="23"/>
      <c r="R237" s="23"/>
      <c r="S237" s="25"/>
      <c r="T237" s="26"/>
    </row>
    <row r="238" spans="1:20" ht="15.6" hidden="1">
      <c r="A238" s="22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4"/>
      <c r="Q238" s="23"/>
      <c r="R238" s="23"/>
      <c r="S238" s="25"/>
      <c r="T238" s="26"/>
    </row>
    <row r="239" spans="1:20" ht="15.6" hidden="1">
      <c r="A239" s="22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4"/>
      <c r="Q239" s="23"/>
      <c r="R239" s="23"/>
      <c r="S239" s="25"/>
      <c r="T239" s="26"/>
    </row>
    <row r="240" spans="1:20" ht="15.6" hidden="1">
      <c r="A240" s="22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4"/>
      <c r="Q240" s="23"/>
      <c r="R240" s="23"/>
      <c r="S240" s="25"/>
      <c r="T240" s="26"/>
    </row>
    <row r="241" spans="1:20" ht="15.6" hidden="1">
      <c r="A241" s="22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4"/>
      <c r="Q241" s="23"/>
      <c r="R241" s="23"/>
      <c r="S241" s="25"/>
      <c r="T241" s="26"/>
    </row>
    <row r="242" spans="1:20" ht="15.6" hidden="1">
      <c r="A242" s="22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4"/>
      <c r="Q242" s="23"/>
      <c r="R242" s="23"/>
      <c r="S242" s="25"/>
      <c r="T242" s="26"/>
    </row>
    <row r="243" spans="1:20" ht="15.6" hidden="1">
      <c r="A243" s="22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4"/>
      <c r="Q243" s="23"/>
      <c r="R243" s="23"/>
      <c r="S243" s="25"/>
      <c r="T243" s="26"/>
    </row>
    <row r="244" spans="1:20" ht="15.6" hidden="1">
      <c r="A244" s="22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4"/>
      <c r="Q244" s="23"/>
      <c r="R244" s="23"/>
      <c r="S244" s="25"/>
      <c r="T244" s="26"/>
    </row>
    <row r="245" spans="1:20" ht="15.6" hidden="1">
      <c r="A245" s="22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4"/>
      <c r="Q245" s="23"/>
      <c r="R245" s="23"/>
      <c r="S245" s="25"/>
      <c r="T245" s="26"/>
    </row>
    <row r="246" spans="1:20" ht="15.6" hidden="1">
      <c r="A246" s="22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4"/>
      <c r="Q246" s="23"/>
      <c r="R246" s="23"/>
      <c r="S246" s="25"/>
      <c r="T246" s="26"/>
    </row>
    <row r="247" spans="1:20" ht="15.6" hidden="1">
      <c r="A247" s="22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4"/>
      <c r="Q247" s="23"/>
      <c r="R247" s="23"/>
      <c r="S247" s="25"/>
      <c r="T247" s="26"/>
    </row>
    <row r="248" spans="1:20" ht="15.6" hidden="1">
      <c r="A248" s="22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4"/>
      <c r="Q248" s="23"/>
      <c r="R248" s="23"/>
      <c r="S248" s="25"/>
      <c r="T248" s="26"/>
    </row>
    <row r="249" spans="1:20" ht="15.6" hidden="1">
      <c r="A249" s="22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4"/>
      <c r="Q249" s="23"/>
      <c r="R249" s="23"/>
      <c r="S249" s="25"/>
      <c r="T249" s="26"/>
    </row>
    <row r="250" spans="1:20" ht="15.6" hidden="1">
      <c r="A250" s="22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4"/>
      <c r="Q250" s="23"/>
      <c r="R250" s="23"/>
      <c r="S250" s="25"/>
      <c r="T250" s="26"/>
    </row>
    <row r="251" spans="1:20" ht="15.6" hidden="1">
      <c r="A251" s="22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4"/>
      <c r="Q251" s="23"/>
      <c r="R251" s="23"/>
      <c r="S251" s="25"/>
      <c r="T251" s="26"/>
    </row>
    <row r="252" spans="1:20" ht="15.6" hidden="1">
      <c r="A252" s="22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4"/>
      <c r="Q252" s="23"/>
      <c r="R252" s="23"/>
      <c r="S252" s="25"/>
      <c r="T252" s="26"/>
    </row>
    <row r="253" spans="1:20" ht="15.6" hidden="1">
      <c r="A253" s="22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4"/>
      <c r="Q253" s="23"/>
      <c r="R253" s="23"/>
      <c r="S253" s="25"/>
      <c r="T253" s="26"/>
    </row>
    <row r="254" spans="1:20" ht="15.6" hidden="1">
      <c r="A254" s="22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4"/>
      <c r="Q254" s="23"/>
      <c r="R254" s="23"/>
      <c r="S254" s="25"/>
      <c r="T254" s="26"/>
    </row>
    <row r="255" spans="1:20" ht="15.6" hidden="1">
      <c r="A255" s="22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4"/>
      <c r="Q255" s="23"/>
      <c r="R255" s="23"/>
      <c r="S255" s="25"/>
      <c r="T255" s="26"/>
    </row>
    <row r="256" spans="1:20" ht="15.6" hidden="1">
      <c r="A256" s="22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4"/>
      <c r="Q256" s="23"/>
      <c r="R256" s="23"/>
      <c r="S256" s="25"/>
      <c r="T256" s="26"/>
    </row>
    <row r="257" spans="1:20" ht="15.6" hidden="1">
      <c r="A257" s="22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4"/>
      <c r="Q257" s="23"/>
      <c r="R257" s="23"/>
      <c r="S257" s="25"/>
      <c r="T257" s="26"/>
    </row>
    <row r="258" spans="1:20" ht="15.6" hidden="1">
      <c r="A258" s="22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4"/>
      <c r="Q258" s="23"/>
      <c r="R258" s="23"/>
      <c r="S258" s="25"/>
      <c r="T258" s="26"/>
    </row>
    <row r="259" spans="1:20" ht="15.6" hidden="1">
      <c r="A259" s="22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4"/>
      <c r="Q259" s="23"/>
      <c r="R259" s="23"/>
      <c r="S259" s="25"/>
      <c r="T259" s="26"/>
    </row>
    <row r="260" spans="1:20" ht="15.6" hidden="1">
      <c r="A260" s="22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4"/>
      <c r="Q260" s="23"/>
      <c r="R260" s="23"/>
      <c r="S260" s="25"/>
      <c r="T260" s="26"/>
    </row>
    <row r="261" spans="1:20" ht="15.6" hidden="1">
      <c r="A261" s="22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4"/>
      <c r="Q261" s="23"/>
      <c r="R261" s="23"/>
      <c r="S261" s="25"/>
      <c r="T261" s="26"/>
    </row>
    <row r="262" spans="1:20" ht="15.6" hidden="1">
      <c r="A262" s="22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4"/>
      <c r="Q262" s="23"/>
      <c r="R262" s="23"/>
      <c r="S262" s="25"/>
      <c r="T262" s="26"/>
    </row>
    <row r="263" spans="1:20" ht="15.6" hidden="1">
      <c r="A263" s="22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4"/>
      <c r="Q263" s="23"/>
      <c r="R263" s="23"/>
      <c r="S263" s="25"/>
      <c r="T263" s="26"/>
    </row>
    <row r="264" spans="1:20" ht="15.6" hidden="1">
      <c r="A264" s="22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4"/>
      <c r="Q264" s="23"/>
      <c r="R264" s="23"/>
      <c r="S264" s="25"/>
      <c r="T264" s="26"/>
    </row>
    <row r="265" spans="1:20" ht="15.6" hidden="1">
      <c r="A265" s="22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4"/>
      <c r="Q265" s="23"/>
      <c r="R265" s="23"/>
      <c r="S265" s="25"/>
      <c r="T265" s="26"/>
    </row>
    <row r="266" spans="1:20" ht="15.6" hidden="1">
      <c r="A266" s="22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4"/>
      <c r="Q266" s="23"/>
      <c r="R266" s="23"/>
      <c r="S266" s="25"/>
      <c r="T266" s="26"/>
    </row>
    <row r="267" spans="1:20" ht="15.6" hidden="1">
      <c r="A267" s="22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4"/>
      <c r="Q267" s="23"/>
      <c r="R267" s="23"/>
      <c r="S267" s="25"/>
      <c r="T267" s="26"/>
    </row>
    <row r="268" spans="1:20" ht="15.6" hidden="1">
      <c r="A268" s="22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4"/>
      <c r="Q268" s="23"/>
      <c r="R268" s="23"/>
      <c r="S268" s="25"/>
      <c r="T268" s="26"/>
    </row>
    <row r="269" spans="1:20" ht="15.6" hidden="1">
      <c r="A269" s="22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4"/>
      <c r="Q269" s="23"/>
      <c r="R269" s="23"/>
      <c r="S269" s="25"/>
      <c r="T269" s="26"/>
    </row>
    <row r="270" spans="1:20" ht="15.6" hidden="1">
      <c r="A270" s="22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4"/>
      <c r="Q270" s="23"/>
      <c r="R270" s="23"/>
      <c r="S270" s="25"/>
      <c r="T270" s="26"/>
    </row>
    <row r="271" spans="1:20" ht="15.6" hidden="1">
      <c r="A271" s="22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4"/>
      <c r="Q271" s="23"/>
      <c r="R271" s="23"/>
      <c r="S271" s="25"/>
      <c r="T271" s="26"/>
    </row>
    <row r="272" spans="1:20" ht="15.6" hidden="1">
      <c r="A272" s="22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4"/>
      <c r="Q272" s="23"/>
      <c r="R272" s="23"/>
      <c r="S272" s="25"/>
      <c r="T272" s="26"/>
    </row>
    <row r="273" spans="1:20" ht="15.6" hidden="1">
      <c r="A273" s="22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4"/>
      <c r="Q273" s="23"/>
      <c r="R273" s="23"/>
      <c r="S273" s="25"/>
      <c r="T273" s="26"/>
    </row>
    <row r="274" spans="1:20" ht="15.6" hidden="1">
      <c r="A274" s="22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4"/>
      <c r="Q274" s="23"/>
      <c r="R274" s="23"/>
      <c r="S274" s="25"/>
      <c r="T274" s="26"/>
    </row>
    <row r="275" spans="1:20" ht="15.6" hidden="1">
      <c r="A275" s="22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4"/>
      <c r="Q275" s="23"/>
      <c r="R275" s="23"/>
      <c r="S275" s="25"/>
      <c r="T275" s="26"/>
    </row>
    <row r="276" spans="1:20" ht="15.6" hidden="1">
      <c r="A276" s="22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4"/>
      <c r="Q276" s="23"/>
      <c r="R276" s="23"/>
      <c r="S276" s="25"/>
      <c r="T276" s="26"/>
    </row>
    <row r="277" spans="1:20" ht="15.6" hidden="1">
      <c r="A277" s="22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4"/>
      <c r="Q277" s="23"/>
      <c r="R277" s="23"/>
      <c r="S277" s="25"/>
      <c r="T277" s="26"/>
    </row>
    <row r="278" spans="1:20" ht="15.6" hidden="1">
      <c r="A278" s="22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4"/>
      <c r="Q278" s="23"/>
      <c r="R278" s="23"/>
      <c r="S278" s="25"/>
      <c r="T278" s="26"/>
    </row>
    <row r="279" spans="1:20" ht="15.6" hidden="1">
      <c r="A279" s="22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4"/>
      <c r="Q279" s="23"/>
      <c r="R279" s="23"/>
      <c r="S279" s="25"/>
      <c r="T279" s="26"/>
    </row>
    <row r="280" spans="1:20" ht="15.6" hidden="1">
      <c r="A280" s="22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4"/>
      <c r="Q280" s="23"/>
      <c r="R280" s="23"/>
      <c r="S280" s="25"/>
      <c r="T280" s="26"/>
    </row>
    <row r="281" spans="1:20" ht="15.6" hidden="1">
      <c r="A281" s="22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4"/>
      <c r="Q281" s="23"/>
      <c r="R281" s="23"/>
      <c r="S281" s="25"/>
      <c r="T281" s="26"/>
    </row>
    <row r="282" spans="1:20" ht="15.6" hidden="1">
      <c r="A282" s="22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4"/>
      <c r="Q282" s="23"/>
      <c r="R282" s="23"/>
      <c r="S282" s="25"/>
      <c r="T282" s="26"/>
    </row>
    <row r="283" spans="1:20" ht="15.6" hidden="1">
      <c r="A283" s="22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4"/>
      <c r="Q283" s="23"/>
      <c r="R283" s="23"/>
      <c r="S283" s="25"/>
      <c r="T283" s="26"/>
    </row>
    <row r="284" spans="1:20" ht="15.6" hidden="1">
      <c r="A284" s="22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4"/>
      <c r="Q284" s="23"/>
      <c r="R284" s="23"/>
      <c r="S284" s="25"/>
      <c r="T284" s="26"/>
    </row>
    <row r="285" spans="1:20" ht="15.6" hidden="1">
      <c r="A285" s="22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4"/>
      <c r="Q285" s="23"/>
      <c r="R285" s="23"/>
      <c r="S285" s="25"/>
      <c r="T285" s="26"/>
    </row>
    <row r="286" spans="1:20" ht="15.6" hidden="1">
      <c r="A286" s="22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4"/>
      <c r="Q286" s="23"/>
      <c r="R286" s="23"/>
      <c r="S286" s="25"/>
      <c r="T286" s="26"/>
    </row>
    <row r="287" spans="1:20" ht="15.6" hidden="1">
      <c r="A287" s="22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4"/>
      <c r="Q287" s="23"/>
      <c r="R287" s="23"/>
      <c r="S287" s="25"/>
      <c r="T287" s="26"/>
    </row>
    <row r="288" spans="1:20" ht="15.6" hidden="1">
      <c r="A288" s="22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4"/>
      <c r="Q288" s="23"/>
      <c r="R288" s="23"/>
      <c r="S288" s="25"/>
      <c r="T288" s="26"/>
    </row>
    <row r="289" spans="1:20" ht="15.6" hidden="1">
      <c r="A289" s="22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4"/>
      <c r="Q289" s="23"/>
      <c r="R289" s="23"/>
      <c r="S289" s="25"/>
      <c r="T289" s="26"/>
    </row>
    <row r="290" spans="1:20" ht="15.6" hidden="1">
      <c r="A290" s="22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4"/>
      <c r="Q290" s="23"/>
      <c r="R290" s="23"/>
      <c r="S290" s="25"/>
      <c r="T290" s="26"/>
    </row>
    <row r="291" spans="1:20" ht="15.6" hidden="1">
      <c r="A291" s="22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4"/>
      <c r="Q291" s="23"/>
      <c r="R291" s="23"/>
      <c r="S291" s="25"/>
      <c r="T291" s="26"/>
    </row>
    <row r="292" spans="1:20" ht="15.6" hidden="1">
      <c r="A292" s="22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4"/>
      <c r="Q292" s="23"/>
      <c r="R292" s="23"/>
      <c r="S292" s="25"/>
      <c r="T292" s="26"/>
    </row>
    <row r="293" spans="1:20" ht="15.6" hidden="1">
      <c r="A293" s="22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4"/>
      <c r="Q293" s="23"/>
      <c r="R293" s="23"/>
      <c r="S293" s="25"/>
      <c r="T293" s="26"/>
    </row>
    <row r="294" spans="1:20" ht="15.6" hidden="1">
      <c r="A294" s="22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4"/>
      <c r="Q294" s="23"/>
      <c r="R294" s="23"/>
      <c r="S294" s="25"/>
      <c r="T294" s="26"/>
    </row>
    <row r="295" spans="1:20" ht="15.6" hidden="1">
      <c r="A295" s="22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4"/>
      <c r="Q295" s="23"/>
      <c r="R295" s="23"/>
      <c r="S295" s="25"/>
      <c r="T295" s="26"/>
    </row>
    <row r="296" spans="1:20" ht="15.6" hidden="1">
      <c r="A296" s="22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4"/>
      <c r="Q296" s="23"/>
      <c r="R296" s="23"/>
      <c r="S296" s="25"/>
      <c r="T296" s="26"/>
    </row>
    <row r="297" spans="1:20" ht="15.6" hidden="1">
      <c r="A297" s="22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4"/>
      <c r="Q297" s="23"/>
      <c r="R297" s="23"/>
      <c r="S297" s="25"/>
      <c r="T297" s="26"/>
    </row>
    <row r="298" spans="1:20" ht="15.6" hidden="1">
      <c r="A298" s="22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4"/>
      <c r="Q298" s="23"/>
      <c r="R298" s="23"/>
      <c r="S298" s="25"/>
      <c r="T298" s="26"/>
    </row>
    <row r="299" spans="1:20" ht="15.6" hidden="1">
      <c r="A299" s="22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4"/>
      <c r="Q299" s="23"/>
      <c r="R299" s="23"/>
      <c r="S299" s="25"/>
      <c r="T299" s="26"/>
    </row>
    <row r="300" spans="1:20" ht="15.6" hidden="1">
      <c r="A300" s="22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4"/>
      <c r="Q300" s="23"/>
      <c r="R300" s="23"/>
      <c r="S300" s="25"/>
      <c r="T300" s="26"/>
    </row>
    <row r="301" spans="1:20" ht="15.6" hidden="1">
      <c r="A301" s="22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4"/>
      <c r="Q301" s="23"/>
      <c r="R301" s="23"/>
      <c r="S301" s="25"/>
      <c r="T301" s="26"/>
    </row>
    <row r="302" spans="1:20" ht="15.6" hidden="1">
      <c r="A302" s="22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4"/>
      <c r="Q302" s="23"/>
      <c r="R302" s="23"/>
      <c r="S302" s="25"/>
      <c r="T302" s="26"/>
    </row>
    <row r="303" spans="1:20" ht="15.6" hidden="1">
      <c r="A303" s="22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4"/>
      <c r="Q303" s="23"/>
      <c r="R303" s="23"/>
      <c r="S303" s="25"/>
      <c r="T303" s="26"/>
    </row>
    <row r="304" spans="1:20" ht="15.6" hidden="1">
      <c r="A304" s="22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4"/>
      <c r="Q304" s="23"/>
      <c r="R304" s="23"/>
      <c r="S304" s="25"/>
      <c r="T304" s="26"/>
    </row>
    <row r="305" spans="1:20" ht="15.6" hidden="1">
      <c r="A305" s="22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4"/>
      <c r="Q305" s="23"/>
      <c r="R305" s="23"/>
      <c r="S305" s="25"/>
      <c r="T305" s="26"/>
    </row>
    <row r="306" spans="1:20" ht="15.6" hidden="1">
      <c r="A306" s="22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4"/>
      <c r="Q306" s="23"/>
      <c r="R306" s="23"/>
      <c r="S306" s="25"/>
      <c r="T306" s="26"/>
    </row>
    <row r="307" spans="1:20" ht="15.6" hidden="1">
      <c r="A307" s="22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4"/>
      <c r="Q307" s="23"/>
      <c r="R307" s="23"/>
      <c r="S307" s="25"/>
      <c r="T307" s="26"/>
    </row>
    <row r="308" spans="1:20" ht="15.6" hidden="1">
      <c r="A308" s="22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4"/>
      <c r="Q308" s="23"/>
      <c r="R308" s="23"/>
      <c r="S308" s="25"/>
      <c r="T308" s="26"/>
    </row>
    <row r="309" spans="1:20" ht="15.6" hidden="1">
      <c r="A309" s="22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4"/>
      <c r="Q309" s="23"/>
      <c r="R309" s="23"/>
      <c r="S309" s="25"/>
      <c r="T309" s="26"/>
    </row>
    <row r="310" spans="1:20" ht="15.6" hidden="1">
      <c r="A310" s="22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4"/>
      <c r="Q310" s="23"/>
      <c r="R310" s="23"/>
      <c r="S310" s="25"/>
      <c r="T310" s="26"/>
    </row>
    <row r="311" spans="1:20" ht="15.6" hidden="1">
      <c r="A311" s="22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4"/>
      <c r="Q311" s="23"/>
      <c r="R311" s="23"/>
      <c r="S311" s="25"/>
      <c r="T311" s="26"/>
    </row>
    <row r="312" spans="1:20" ht="15.6" hidden="1">
      <c r="A312" s="22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4"/>
      <c r="Q312" s="23"/>
      <c r="R312" s="23"/>
      <c r="S312" s="25"/>
      <c r="T312" s="26"/>
    </row>
    <row r="313" spans="1:20" ht="15.6" hidden="1">
      <c r="A313" s="22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4"/>
      <c r="Q313" s="23"/>
      <c r="R313" s="23"/>
      <c r="S313" s="25"/>
      <c r="T313" s="26"/>
    </row>
    <row r="314" spans="1:20" ht="15.6" hidden="1">
      <c r="A314" s="22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4"/>
      <c r="Q314" s="23"/>
      <c r="R314" s="23"/>
      <c r="S314" s="25"/>
      <c r="T314" s="26"/>
    </row>
    <row r="315" spans="1:20" ht="15.6" hidden="1">
      <c r="A315" s="22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4"/>
      <c r="Q315" s="23"/>
      <c r="R315" s="23"/>
      <c r="S315" s="25"/>
      <c r="T315" s="26"/>
    </row>
    <row r="316" spans="1:20" ht="15.6" hidden="1">
      <c r="A316" s="22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4"/>
      <c r="Q316" s="23"/>
      <c r="R316" s="23"/>
      <c r="S316" s="25"/>
      <c r="T316" s="26"/>
    </row>
    <row r="317" spans="1:20" ht="15.6" hidden="1">
      <c r="A317" s="22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4"/>
      <c r="Q317" s="23"/>
      <c r="R317" s="23"/>
      <c r="S317" s="25"/>
      <c r="T317" s="26"/>
    </row>
    <row r="318" spans="1:20" ht="15.6" hidden="1">
      <c r="A318" s="22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4"/>
      <c r="Q318" s="23"/>
      <c r="R318" s="23"/>
      <c r="S318" s="25"/>
      <c r="T318" s="26"/>
    </row>
    <row r="319" spans="1:20" ht="15.6" hidden="1">
      <c r="A319" s="22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4"/>
      <c r="Q319" s="23"/>
      <c r="R319" s="23"/>
      <c r="S319" s="25"/>
      <c r="T319" s="26"/>
    </row>
    <row r="320" spans="1:20" ht="15.6" hidden="1">
      <c r="A320" s="22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4"/>
      <c r="Q320" s="23"/>
      <c r="R320" s="23"/>
      <c r="S320" s="25"/>
      <c r="T320" s="26"/>
    </row>
    <row r="321" spans="1:20" ht="15.6" hidden="1">
      <c r="A321" s="22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4"/>
      <c r="Q321" s="23"/>
      <c r="R321" s="23"/>
      <c r="S321" s="25"/>
      <c r="T321" s="26"/>
    </row>
    <row r="322" spans="1:20" ht="15.6" hidden="1">
      <c r="A322" s="22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4"/>
      <c r="Q322" s="23"/>
      <c r="R322" s="23"/>
      <c r="S322" s="25"/>
      <c r="T322" s="26"/>
    </row>
    <row r="323" spans="1:20" ht="15.6" hidden="1">
      <c r="A323" s="22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4"/>
      <c r="Q323" s="23"/>
      <c r="R323" s="23"/>
      <c r="S323" s="25"/>
      <c r="T323" s="26"/>
    </row>
    <row r="324" spans="1:20" ht="15.6" hidden="1">
      <c r="A324" s="22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4"/>
      <c r="Q324" s="23"/>
      <c r="R324" s="23"/>
      <c r="S324" s="25"/>
      <c r="T324" s="26"/>
    </row>
    <row r="325" spans="1:20" ht="15.6" hidden="1">
      <c r="A325" s="22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4"/>
      <c r="Q325" s="23"/>
      <c r="R325" s="23"/>
      <c r="S325" s="25"/>
      <c r="T325" s="26"/>
    </row>
    <row r="326" spans="1:20" ht="15.6" hidden="1">
      <c r="A326" s="22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4"/>
      <c r="Q326" s="23"/>
      <c r="R326" s="23"/>
      <c r="S326" s="25"/>
      <c r="T326" s="26"/>
    </row>
    <row r="327" spans="1:20" ht="15.6" hidden="1">
      <c r="A327" s="22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4"/>
      <c r="Q327" s="23"/>
      <c r="R327" s="23"/>
      <c r="S327" s="25"/>
      <c r="T327" s="26"/>
    </row>
    <row r="328" spans="1:20" ht="15.6" hidden="1">
      <c r="A328" s="22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4"/>
      <c r="Q328" s="23"/>
      <c r="R328" s="23"/>
      <c r="S328" s="25"/>
      <c r="T328" s="26"/>
    </row>
    <row r="329" spans="1:20" ht="15.6" hidden="1">
      <c r="A329" s="22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4"/>
      <c r="Q329" s="23"/>
      <c r="R329" s="23"/>
      <c r="S329" s="25"/>
      <c r="T329" s="26"/>
    </row>
    <row r="330" spans="1:20" ht="15.6" hidden="1">
      <c r="A330" s="22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4"/>
      <c r="Q330" s="23"/>
      <c r="R330" s="23"/>
      <c r="S330" s="25"/>
      <c r="T330" s="26"/>
    </row>
    <row r="331" spans="1:20" ht="15.6" hidden="1">
      <c r="A331" s="22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4"/>
      <c r="Q331" s="23"/>
      <c r="R331" s="23"/>
      <c r="S331" s="25"/>
      <c r="T331" s="26"/>
    </row>
    <row r="332" spans="1:20" ht="15.6" hidden="1">
      <c r="A332" s="22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4"/>
      <c r="Q332" s="23"/>
      <c r="R332" s="23"/>
      <c r="S332" s="25"/>
      <c r="T332" s="26"/>
    </row>
    <row r="333" spans="1:20" ht="15.6" hidden="1">
      <c r="A333" s="22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4"/>
      <c r="Q333" s="23"/>
      <c r="R333" s="23"/>
      <c r="S333" s="25"/>
      <c r="T333" s="26"/>
    </row>
    <row r="334" spans="1:20" ht="15.6" hidden="1">
      <c r="A334" s="22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4"/>
      <c r="Q334" s="23"/>
      <c r="R334" s="23"/>
      <c r="S334" s="25"/>
      <c r="T334" s="26"/>
    </row>
    <row r="335" spans="1:20" ht="15.6" hidden="1">
      <c r="A335" s="22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4"/>
      <c r="Q335" s="23"/>
      <c r="R335" s="23"/>
      <c r="S335" s="25"/>
      <c r="T335" s="26"/>
    </row>
    <row r="336" spans="1:20" ht="15.6" hidden="1">
      <c r="A336" s="22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4"/>
      <c r="Q336" s="23"/>
      <c r="R336" s="23"/>
      <c r="S336" s="25"/>
      <c r="T336" s="26"/>
    </row>
    <row r="337" spans="1:20" ht="15.6" hidden="1">
      <c r="A337" s="22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4"/>
      <c r="Q337" s="23"/>
      <c r="R337" s="23"/>
      <c r="S337" s="25"/>
      <c r="T337" s="26"/>
    </row>
    <row r="338" spans="1:20" ht="15.6" hidden="1">
      <c r="A338" s="22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4"/>
      <c r="Q338" s="23"/>
      <c r="R338" s="23"/>
      <c r="S338" s="25"/>
      <c r="T338" s="26"/>
    </row>
    <row r="339" spans="1:20" ht="15.6" hidden="1">
      <c r="A339" s="22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4"/>
      <c r="Q339" s="23"/>
      <c r="R339" s="23"/>
      <c r="S339" s="25"/>
      <c r="T339" s="26"/>
    </row>
    <row r="340" spans="1:20" ht="15.6" hidden="1">
      <c r="A340" s="22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4"/>
      <c r="Q340" s="23"/>
      <c r="R340" s="23"/>
      <c r="S340" s="25"/>
      <c r="T340" s="26"/>
    </row>
    <row r="341" spans="1:20" ht="15.6" hidden="1">
      <c r="A341" s="22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4"/>
      <c r="Q341" s="23"/>
      <c r="R341" s="23"/>
      <c r="S341" s="25"/>
      <c r="T341" s="26"/>
    </row>
    <row r="342" spans="1:20" ht="15.6" hidden="1">
      <c r="A342" s="22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4"/>
      <c r="Q342" s="23"/>
      <c r="R342" s="23"/>
      <c r="S342" s="25"/>
      <c r="T342" s="26"/>
    </row>
    <row r="343" spans="1:20" ht="15.6" hidden="1">
      <c r="A343" s="22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4"/>
      <c r="Q343" s="23"/>
      <c r="R343" s="23"/>
      <c r="S343" s="25"/>
      <c r="T343" s="26"/>
    </row>
    <row r="344" spans="1:20" ht="15.6" hidden="1">
      <c r="A344" s="22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4"/>
      <c r="Q344" s="23"/>
      <c r="R344" s="23"/>
      <c r="S344" s="25"/>
      <c r="T344" s="26"/>
    </row>
    <row r="345" spans="1:20" ht="15.6" hidden="1">
      <c r="A345" s="22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4"/>
      <c r="Q345" s="23"/>
      <c r="R345" s="23"/>
      <c r="S345" s="25"/>
      <c r="T345" s="26"/>
    </row>
    <row r="346" spans="1:20" ht="15.6" hidden="1">
      <c r="A346" s="22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4"/>
      <c r="Q346" s="23"/>
      <c r="R346" s="23"/>
      <c r="S346" s="25"/>
      <c r="T346" s="26"/>
    </row>
    <row r="347" spans="1:20" ht="15.6" hidden="1">
      <c r="A347" s="22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4"/>
      <c r="Q347" s="23"/>
      <c r="R347" s="23"/>
      <c r="S347" s="25"/>
      <c r="T347" s="26"/>
    </row>
    <row r="348" spans="1:20" ht="15.6" hidden="1">
      <c r="A348" s="22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4"/>
      <c r="Q348" s="23"/>
      <c r="R348" s="23"/>
      <c r="S348" s="25"/>
      <c r="T348" s="26"/>
    </row>
    <row r="349" spans="1:20" ht="15.6" hidden="1">
      <c r="A349" s="22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4"/>
      <c r="Q349" s="23"/>
      <c r="R349" s="23"/>
      <c r="S349" s="25"/>
      <c r="T349" s="26"/>
    </row>
    <row r="350" spans="1:20" ht="15.6" hidden="1">
      <c r="A350" s="22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4"/>
      <c r="Q350" s="23"/>
      <c r="R350" s="23"/>
      <c r="S350" s="25"/>
      <c r="T350" s="26"/>
    </row>
    <row r="351" spans="1:20" ht="15.6" hidden="1">
      <c r="A351" s="22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4"/>
      <c r="Q351" s="23"/>
      <c r="R351" s="23"/>
      <c r="S351" s="25"/>
      <c r="T351" s="26"/>
    </row>
    <row r="352" spans="1:20" ht="15.6" hidden="1">
      <c r="A352" s="22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4"/>
      <c r="Q352" s="23"/>
      <c r="R352" s="23"/>
      <c r="S352" s="25"/>
      <c r="T352" s="26"/>
    </row>
    <row r="353" spans="1:20" ht="15.6" hidden="1">
      <c r="A353" s="22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4"/>
      <c r="Q353" s="23"/>
      <c r="R353" s="23"/>
      <c r="S353" s="25"/>
      <c r="T353" s="26"/>
    </row>
    <row r="354" spans="1:20" ht="15.6" hidden="1">
      <c r="A354" s="22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4"/>
      <c r="Q354" s="23"/>
      <c r="R354" s="23"/>
      <c r="S354" s="25"/>
      <c r="T354" s="26"/>
    </row>
    <row r="355" spans="1:20" ht="15.6" hidden="1">
      <c r="A355" s="22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4"/>
      <c r="Q355" s="23"/>
      <c r="R355" s="23"/>
      <c r="S355" s="25"/>
      <c r="T355" s="26"/>
    </row>
    <row r="356" spans="1:20" ht="15.6" hidden="1">
      <c r="A356" s="22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4"/>
      <c r="Q356" s="23"/>
      <c r="R356" s="23"/>
      <c r="S356" s="25"/>
      <c r="T356" s="26"/>
    </row>
    <row r="357" spans="1:20" ht="15.6" hidden="1">
      <c r="A357" s="22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4"/>
      <c r="Q357" s="23"/>
      <c r="R357" s="23"/>
      <c r="S357" s="25"/>
      <c r="T357" s="26"/>
    </row>
    <row r="358" spans="1:20" ht="15.6" hidden="1">
      <c r="A358" s="22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4"/>
      <c r="Q358" s="23"/>
      <c r="R358" s="23"/>
      <c r="S358" s="25"/>
      <c r="T358" s="26"/>
    </row>
    <row r="359" spans="1:20" ht="15.6" hidden="1">
      <c r="A359" s="22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4"/>
      <c r="Q359" s="23"/>
      <c r="R359" s="23"/>
      <c r="S359" s="25"/>
      <c r="T359" s="26"/>
    </row>
    <row r="360" spans="1:20" ht="15.6" hidden="1">
      <c r="A360" s="22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4"/>
      <c r="Q360" s="23"/>
      <c r="R360" s="23"/>
      <c r="S360" s="25"/>
      <c r="T360" s="26"/>
    </row>
    <row r="361" spans="1:20" ht="15.6" hidden="1">
      <c r="A361" s="22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4"/>
      <c r="Q361" s="23"/>
      <c r="R361" s="23"/>
      <c r="S361" s="25"/>
      <c r="T361" s="26"/>
    </row>
    <row r="362" spans="1:20" ht="15.6" hidden="1">
      <c r="A362" s="22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4"/>
      <c r="Q362" s="23"/>
      <c r="R362" s="23"/>
      <c r="S362" s="25"/>
      <c r="T362" s="26"/>
    </row>
    <row r="363" spans="1:20" ht="15.6" hidden="1">
      <c r="A363" s="22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4"/>
      <c r="Q363" s="23"/>
      <c r="R363" s="23"/>
      <c r="S363" s="25"/>
      <c r="T363" s="26"/>
    </row>
    <row r="364" spans="1:20" ht="15.6" hidden="1">
      <c r="A364" s="22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4"/>
      <c r="Q364" s="23"/>
      <c r="R364" s="23"/>
      <c r="S364" s="25"/>
      <c r="T364" s="26"/>
    </row>
    <row r="365" spans="1:20" ht="15.6" hidden="1">
      <c r="A365" s="22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4"/>
      <c r="Q365" s="23"/>
      <c r="R365" s="23"/>
      <c r="S365" s="25"/>
      <c r="T365" s="26"/>
    </row>
    <row r="366" spans="1:20" ht="15.6" hidden="1">
      <c r="A366" s="22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4"/>
      <c r="Q366" s="23"/>
      <c r="R366" s="23"/>
      <c r="S366" s="25"/>
      <c r="T366" s="26"/>
    </row>
    <row r="367" spans="1:20" ht="15.6" hidden="1">
      <c r="A367" s="22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4"/>
      <c r="Q367" s="23"/>
      <c r="R367" s="23"/>
      <c r="S367" s="25"/>
      <c r="T367" s="26"/>
    </row>
    <row r="368" spans="1:20" ht="15.6" hidden="1">
      <c r="A368" s="22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4"/>
      <c r="Q368" s="23"/>
      <c r="R368" s="23"/>
      <c r="S368" s="25"/>
      <c r="T368" s="26"/>
    </row>
    <row r="369" spans="1:20" ht="15.6" hidden="1">
      <c r="A369" s="22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4"/>
      <c r="Q369" s="23"/>
      <c r="R369" s="23"/>
      <c r="S369" s="25"/>
      <c r="T369" s="26"/>
    </row>
    <row r="370" spans="1:20" ht="15.6" hidden="1">
      <c r="A370" s="22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4"/>
      <c r="Q370" s="23"/>
      <c r="R370" s="23"/>
      <c r="S370" s="25"/>
      <c r="T370" s="26"/>
    </row>
    <row r="371" spans="1:20" ht="15.6" hidden="1">
      <c r="A371" s="22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4"/>
      <c r="Q371" s="23"/>
      <c r="R371" s="23"/>
      <c r="S371" s="25"/>
      <c r="T371" s="26"/>
    </row>
    <row r="372" spans="1:20" ht="15.6" hidden="1">
      <c r="A372" s="22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4"/>
      <c r="Q372" s="23"/>
      <c r="R372" s="23"/>
      <c r="S372" s="25"/>
      <c r="T372" s="26"/>
    </row>
    <row r="373" spans="1:20" ht="15.6" hidden="1">
      <c r="A373" s="22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4"/>
      <c r="Q373" s="23"/>
      <c r="R373" s="23"/>
      <c r="S373" s="25"/>
      <c r="T373" s="26"/>
    </row>
    <row r="374" spans="1:20" ht="15.6" hidden="1">
      <c r="A374" s="22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4"/>
      <c r="Q374" s="23"/>
      <c r="R374" s="23"/>
      <c r="S374" s="25"/>
      <c r="T374" s="26"/>
    </row>
    <row r="375" spans="1:20" ht="15.6" hidden="1">
      <c r="A375" s="22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4"/>
      <c r="Q375" s="23"/>
      <c r="R375" s="23"/>
      <c r="S375" s="25"/>
      <c r="T375" s="26"/>
    </row>
    <row r="376" spans="1:20" ht="15.6" hidden="1">
      <c r="A376" s="22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4"/>
      <c r="Q376" s="23"/>
      <c r="R376" s="23"/>
      <c r="S376" s="25"/>
      <c r="T376" s="26"/>
    </row>
    <row r="377" spans="1:20" ht="15.6" hidden="1">
      <c r="A377" s="22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4"/>
      <c r="Q377" s="23"/>
      <c r="R377" s="23"/>
      <c r="S377" s="25"/>
      <c r="T377" s="26"/>
    </row>
    <row r="378" spans="1:20" ht="15.6" hidden="1">
      <c r="A378" s="22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4"/>
      <c r="Q378" s="23"/>
      <c r="R378" s="23"/>
      <c r="S378" s="25"/>
      <c r="T378" s="26"/>
    </row>
    <row r="379" spans="1:20" ht="15.6" hidden="1">
      <c r="A379" s="22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4"/>
      <c r="Q379" s="23"/>
      <c r="R379" s="23"/>
      <c r="S379" s="25"/>
      <c r="T379" s="26"/>
    </row>
    <row r="380" spans="1:20" ht="15.6" hidden="1">
      <c r="A380" s="22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4"/>
      <c r="Q380" s="23"/>
      <c r="R380" s="23"/>
      <c r="S380" s="25"/>
      <c r="T380" s="26"/>
    </row>
    <row r="381" spans="1:20" ht="15.6" hidden="1">
      <c r="A381" s="22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4"/>
      <c r="Q381" s="23"/>
      <c r="R381" s="23"/>
      <c r="S381" s="25"/>
      <c r="T381" s="26"/>
    </row>
    <row r="382" spans="1:20" ht="15.6" hidden="1">
      <c r="A382" s="22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4"/>
      <c r="Q382" s="23"/>
      <c r="R382" s="23"/>
      <c r="S382" s="25"/>
      <c r="T382" s="26"/>
    </row>
    <row r="383" spans="1:20" ht="15.6" hidden="1">
      <c r="A383" s="22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4"/>
      <c r="Q383" s="23"/>
      <c r="R383" s="23"/>
      <c r="S383" s="25"/>
      <c r="T383" s="26"/>
    </row>
    <row r="384" spans="1:20" ht="15.6" hidden="1">
      <c r="A384" s="22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4"/>
      <c r="Q384" s="23"/>
      <c r="R384" s="23"/>
      <c r="S384" s="25"/>
      <c r="T384" s="26"/>
    </row>
    <row r="385" spans="1:20" ht="15.6" hidden="1">
      <c r="A385" s="22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4"/>
      <c r="Q385" s="23"/>
      <c r="R385" s="23"/>
      <c r="S385" s="25"/>
      <c r="T385" s="26"/>
    </row>
    <row r="386" spans="1:20" ht="15.6" hidden="1">
      <c r="A386" s="22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4"/>
      <c r="Q386" s="23"/>
      <c r="R386" s="23"/>
      <c r="S386" s="25"/>
      <c r="T386" s="26"/>
    </row>
    <row r="387" spans="1:20" ht="15.6" hidden="1">
      <c r="A387" s="22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4"/>
      <c r="Q387" s="23"/>
      <c r="R387" s="23"/>
      <c r="S387" s="25"/>
      <c r="T387" s="26"/>
    </row>
    <row r="388" spans="1:20" ht="15.6" hidden="1">
      <c r="A388" s="22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4"/>
      <c r="Q388" s="23"/>
      <c r="R388" s="23"/>
      <c r="S388" s="25"/>
      <c r="T388" s="26"/>
    </row>
    <row r="389" spans="1:20" ht="15.6" hidden="1">
      <c r="A389" s="22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4"/>
      <c r="Q389" s="23"/>
      <c r="R389" s="23"/>
      <c r="S389" s="25"/>
      <c r="T389" s="26"/>
    </row>
    <row r="390" spans="1:20" ht="15.6" hidden="1">
      <c r="A390" s="22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4"/>
      <c r="Q390" s="23"/>
      <c r="R390" s="23"/>
      <c r="S390" s="25"/>
      <c r="T390" s="26"/>
    </row>
    <row r="391" spans="1:20" ht="15.6" hidden="1">
      <c r="A391" s="22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4"/>
      <c r="Q391" s="23"/>
      <c r="R391" s="23"/>
      <c r="S391" s="25"/>
      <c r="T391" s="26"/>
    </row>
    <row r="392" spans="1:20" ht="15.6" hidden="1">
      <c r="A392" s="22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4"/>
      <c r="Q392" s="23"/>
      <c r="R392" s="23"/>
      <c r="S392" s="25"/>
      <c r="T392" s="26"/>
    </row>
    <row r="393" spans="1:20" ht="15.6" hidden="1">
      <c r="A393" s="22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4"/>
      <c r="Q393" s="23"/>
      <c r="R393" s="23"/>
      <c r="S393" s="25"/>
      <c r="T393" s="26"/>
    </row>
    <row r="394" spans="1:20" ht="15.6" hidden="1">
      <c r="A394" s="22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4"/>
      <c r="Q394" s="23"/>
      <c r="R394" s="23"/>
      <c r="S394" s="25"/>
      <c r="T394" s="26"/>
    </row>
    <row r="395" spans="1:20" ht="15.6" hidden="1">
      <c r="A395" s="22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4"/>
      <c r="Q395" s="23"/>
      <c r="R395" s="23"/>
      <c r="S395" s="25"/>
      <c r="T395" s="26"/>
    </row>
    <row r="396" spans="1:20" ht="15.6" hidden="1">
      <c r="A396" s="22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4"/>
      <c r="Q396" s="23"/>
      <c r="R396" s="23"/>
      <c r="S396" s="25"/>
      <c r="T396" s="26"/>
    </row>
    <row r="397" spans="1:20" ht="15.6" hidden="1">
      <c r="A397" s="22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4"/>
      <c r="Q397" s="23"/>
      <c r="R397" s="23"/>
      <c r="S397" s="25"/>
      <c r="T397" s="26"/>
    </row>
    <row r="398" spans="1:20" ht="15.6" hidden="1">
      <c r="A398" s="22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4"/>
      <c r="Q398" s="23"/>
      <c r="R398" s="23"/>
      <c r="S398" s="25"/>
      <c r="T398" s="26"/>
    </row>
    <row r="399" spans="1:20" ht="15.6" hidden="1">
      <c r="A399" s="22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4"/>
      <c r="Q399" s="23"/>
      <c r="R399" s="23"/>
      <c r="S399" s="25"/>
      <c r="T399" s="26"/>
    </row>
    <row r="400" spans="1:20" ht="15.6" hidden="1">
      <c r="A400" s="22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4"/>
      <c r="Q400" s="23"/>
      <c r="R400" s="23"/>
      <c r="S400" s="25"/>
      <c r="T400" s="26"/>
    </row>
    <row r="401" spans="1:20" ht="15.6" hidden="1">
      <c r="A401" s="22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4"/>
      <c r="Q401" s="23"/>
      <c r="R401" s="23"/>
      <c r="S401" s="25"/>
      <c r="T401" s="26"/>
    </row>
    <row r="402" spans="1:20" ht="15.6" hidden="1">
      <c r="A402" s="22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4"/>
      <c r="Q402" s="23"/>
      <c r="R402" s="23"/>
      <c r="S402" s="25"/>
      <c r="T402" s="26"/>
    </row>
    <row r="403" spans="1:20" ht="15.6" hidden="1">
      <c r="A403" s="22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4"/>
      <c r="Q403" s="23"/>
      <c r="R403" s="23"/>
      <c r="S403" s="25"/>
      <c r="T403" s="26"/>
    </row>
    <row r="404" spans="1:20" ht="15.6" hidden="1">
      <c r="A404" s="22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4"/>
      <c r="Q404" s="23"/>
      <c r="R404" s="23"/>
      <c r="S404" s="25"/>
      <c r="T404" s="26"/>
    </row>
    <row r="405" spans="1:20" ht="15.6" hidden="1">
      <c r="A405" s="22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4"/>
      <c r="Q405" s="23"/>
      <c r="R405" s="23"/>
      <c r="S405" s="25"/>
      <c r="T405" s="26"/>
    </row>
    <row r="406" spans="1:20" ht="15.6" hidden="1">
      <c r="A406" s="22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4"/>
      <c r="Q406" s="23"/>
      <c r="R406" s="23"/>
      <c r="S406" s="25"/>
      <c r="T406" s="26"/>
    </row>
    <row r="407" spans="1:20" ht="15.6" hidden="1">
      <c r="A407" s="22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4"/>
      <c r="Q407" s="23"/>
      <c r="R407" s="23"/>
      <c r="S407" s="25"/>
      <c r="T407" s="26"/>
    </row>
    <row r="408" spans="1:20" ht="15.6" hidden="1">
      <c r="A408" s="22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4"/>
      <c r="Q408" s="23"/>
      <c r="R408" s="23"/>
      <c r="S408" s="25"/>
      <c r="T408" s="26"/>
    </row>
    <row r="409" spans="1:20" ht="15.6" hidden="1">
      <c r="A409" s="22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4"/>
      <c r="Q409" s="23"/>
      <c r="R409" s="23"/>
      <c r="S409" s="25"/>
      <c r="T409" s="26"/>
    </row>
    <row r="410" spans="1:20" ht="15.6" hidden="1">
      <c r="A410" s="22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4"/>
      <c r="Q410" s="23"/>
      <c r="R410" s="23"/>
      <c r="S410" s="25"/>
      <c r="T410" s="26"/>
    </row>
    <row r="411" spans="1:20" ht="15.6" hidden="1">
      <c r="A411" s="22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4"/>
      <c r="Q411" s="23"/>
      <c r="R411" s="23"/>
      <c r="S411" s="25"/>
      <c r="T411" s="26"/>
    </row>
    <row r="412" spans="1:20" ht="15.6" hidden="1">
      <c r="A412" s="22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4"/>
      <c r="Q412" s="23"/>
      <c r="R412" s="23"/>
      <c r="S412" s="25"/>
      <c r="T412" s="26"/>
    </row>
    <row r="413" spans="1:20" ht="15.6" hidden="1">
      <c r="A413" s="22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4"/>
      <c r="Q413" s="23"/>
      <c r="R413" s="23"/>
      <c r="S413" s="25"/>
      <c r="T413" s="26"/>
    </row>
    <row r="414" spans="1:20" ht="15.6" hidden="1">
      <c r="A414" s="22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4"/>
      <c r="Q414" s="23"/>
      <c r="R414" s="23"/>
      <c r="S414" s="25"/>
      <c r="T414" s="26"/>
    </row>
    <row r="415" spans="1:20" ht="15.6" hidden="1">
      <c r="A415" s="22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4"/>
      <c r="Q415" s="23"/>
      <c r="R415" s="23"/>
      <c r="S415" s="25"/>
      <c r="T415" s="26"/>
    </row>
    <row r="416" spans="1:20" ht="15.6" hidden="1">
      <c r="A416" s="22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4"/>
      <c r="Q416" s="23"/>
      <c r="R416" s="23"/>
      <c r="S416" s="25"/>
      <c r="T416" s="26"/>
    </row>
    <row r="417" spans="1:20" ht="15.6" hidden="1">
      <c r="A417" s="22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4"/>
      <c r="Q417" s="23"/>
      <c r="R417" s="23"/>
      <c r="S417" s="25"/>
      <c r="T417" s="26"/>
    </row>
    <row r="418" spans="1:20" ht="15.6" hidden="1">
      <c r="A418" s="22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4"/>
      <c r="Q418" s="23"/>
      <c r="R418" s="23"/>
      <c r="S418" s="25"/>
      <c r="T418" s="26"/>
    </row>
    <row r="419" spans="1:20" ht="15.6" hidden="1">
      <c r="A419" s="22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4"/>
      <c r="Q419" s="23"/>
      <c r="R419" s="23"/>
      <c r="S419" s="25"/>
      <c r="T419" s="26"/>
    </row>
    <row r="420" spans="1:20" ht="15.6" hidden="1">
      <c r="A420" s="22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4"/>
      <c r="Q420" s="23"/>
      <c r="R420" s="23"/>
      <c r="S420" s="25"/>
      <c r="T420" s="26"/>
    </row>
    <row r="421" spans="1:20" ht="15.6" hidden="1">
      <c r="A421" s="22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4"/>
      <c r="Q421" s="23"/>
      <c r="R421" s="23"/>
      <c r="S421" s="25"/>
      <c r="T421" s="26"/>
    </row>
    <row r="422" spans="1:20" ht="15.6" hidden="1">
      <c r="A422" s="22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4"/>
      <c r="Q422" s="23"/>
      <c r="R422" s="23"/>
      <c r="S422" s="25"/>
      <c r="T422" s="26"/>
    </row>
    <row r="423" spans="1:20" ht="15.6" hidden="1">
      <c r="A423" s="22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4"/>
      <c r="Q423" s="23"/>
      <c r="R423" s="23"/>
      <c r="S423" s="25"/>
      <c r="T423" s="26"/>
    </row>
    <row r="424" spans="1:20" ht="15.6" hidden="1">
      <c r="A424" s="22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4"/>
      <c r="Q424" s="23"/>
      <c r="R424" s="23"/>
      <c r="S424" s="25"/>
      <c r="T424" s="26"/>
    </row>
    <row r="425" spans="1:20" ht="15.6" hidden="1">
      <c r="A425" s="22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4"/>
      <c r="Q425" s="23"/>
      <c r="R425" s="23"/>
      <c r="S425" s="25"/>
      <c r="T425" s="26"/>
    </row>
    <row r="426" spans="1:20" ht="15.6" hidden="1">
      <c r="A426" s="22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4"/>
      <c r="Q426" s="23"/>
      <c r="R426" s="23"/>
      <c r="S426" s="25"/>
      <c r="T426" s="26"/>
    </row>
    <row r="427" spans="1:20" ht="15.6" hidden="1">
      <c r="A427" s="22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4"/>
      <c r="Q427" s="23"/>
      <c r="R427" s="23"/>
      <c r="S427" s="25"/>
      <c r="T427" s="26"/>
    </row>
    <row r="428" spans="1:20" ht="15.6" hidden="1">
      <c r="A428" s="22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4"/>
      <c r="Q428" s="23"/>
      <c r="R428" s="23"/>
      <c r="S428" s="25"/>
      <c r="T428" s="26"/>
    </row>
    <row r="429" spans="1:20" ht="15.6" hidden="1">
      <c r="A429" s="22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4"/>
      <c r="Q429" s="23"/>
      <c r="R429" s="23"/>
      <c r="S429" s="25"/>
      <c r="T429" s="26"/>
    </row>
    <row r="430" spans="1:20" ht="15.6" hidden="1">
      <c r="A430" s="22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4"/>
      <c r="Q430" s="23"/>
      <c r="R430" s="23"/>
      <c r="S430" s="25"/>
      <c r="T430" s="26"/>
    </row>
    <row r="431" spans="1:20" ht="15.6" hidden="1">
      <c r="A431" s="22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4"/>
      <c r="Q431" s="23"/>
      <c r="R431" s="23"/>
      <c r="S431" s="25"/>
      <c r="T431" s="26"/>
    </row>
    <row r="432" spans="1:20" ht="15.6" hidden="1">
      <c r="A432" s="22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4"/>
      <c r="Q432" s="23"/>
      <c r="R432" s="23"/>
      <c r="S432" s="25"/>
      <c r="T432" s="26"/>
    </row>
    <row r="433" spans="1:20" ht="15.6" hidden="1">
      <c r="A433" s="22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4"/>
      <c r="Q433" s="23"/>
      <c r="R433" s="23"/>
      <c r="S433" s="25"/>
      <c r="T433" s="26"/>
    </row>
    <row r="434" spans="1:20" ht="15.6" hidden="1">
      <c r="A434" s="22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4"/>
      <c r="Q434" s="23"/>
      <c r="R434" s="23"/>
      <c r="S434" s="25"/>
      <c r="T434" s="26"/>
    </row>
    <row r="435" spans="1:20" ht="15.6" hidden="1">
      <c r="A435" s="22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4"/>
      <c r="Q435" s="23"/>
      <c r="R435" s="23"/>
      <c r="S435" s="25"/>
      <c r="T435" s="26"/>
    </row>
    <row r="436" spans="1:20" ht="15.6" hidden="1">
      <c r="A436" s="22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4"/>
      <c r="Q436" s="23"/>
      <c r="R436" s="23"/>
      <c r="S436" s="25"/>
      <c r="T436" s="26"/>
    </row>
    <row r="437" spans="1:20" ht="15.6" hidden="1">
      <c r="A437" s="22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4"/>
      <c r="Q437" s="23"/>
      <c r="R437" s="23"/>
      <c r="S437" s="25"/>
      <c r="T437" s="26"/>
    </row>
    <row r="438" spans="1:20" ht="15.6" hidden="1">
      <c r="A438" s="22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4"/>
      <c r="Q438" s="23"/>
      <c r="R438" s="23"/>
      <c r="S438" s="25"/>
      <c r="T438" s="26"/>
    </row>
    <row r="439" spans="1:20" ht="15.6" hidden="1">
      <c r="A439" s="22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4"/>
      <c r="Q439" s="23"/>
      <c r="R439" s="23"/>
      <c r="S439" s="25"/>
      <c r="T439" s="26"/>
    </row>
    <row r="440" spans="1:20" ht="15.6" hidden="1">
      <c r="A440" s="22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4"/>
      <c r="Q440" s="23"/>
      <c r="R440" s="23"/>
      <c r="S440" s="25"/>
      <c r="T440" s="26"/>
    </row>
    <row r="441" spans="1:20" ht="15.6" hidden="1">
      <c r="A441" s="22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4"/>
      <c r="Q441" s="23"/>
      <c r="R441" s="23"/>
      <c r="S441" s="25"/>
      <c r="T441" s="26"/>
    </row>
    <row r="442" spans="1:20" ht="15.6" hidden="1">
      <c r="A442" s="22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4"/>
      <c r="Q442" s="23"/>
      <c r="R442" s="23"/>
      <c r="S442" s="25"/>
      <c r="T442" s="26"/>
    </row>
    <row r="443" spans="1:20" ht="15.6" hidden="1">
      <c r="A443" s="22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4"/>
      <c r="Q443" s="23"/>
      <c r="R443" s="23"/>
      <c r="S443" s="25"/>
      <c r="T443" s="26"/>
    </row>
    <row r="444" spans="1:20" ht="15.6" hidden="1">
      <c r="A444" s="22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4"/>
      <c r="Q444" s="23"/>
      <c r="R444" s="23"/>
      <c r="S444" s="25"/>
      <c r="T444" s="26"/>
    </row>
    <row r="445" spans="1:20" ht="15.6" hidden="1">
      <c r="A445" s="22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4"/>
      <c r="Q445" s="23"/>
      <c r="R445" s="23"/>
      <c r="S445" s="25"/>
      <c r="T445" s="26"/>
    </row>
    <row r="446" spans="1:20" ht="15.6" hidden="1">
      <c r="A446" s="22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4"/>
      <c r="Q446" s="23"/>
      <c r="R446" s="23"/>
      <c r="S446" s="25"/>
      <c r="T446" s="26"/>
    </row>
    <row r="447" spans="1:20" ht="15.6" hidden="1">
      <c r="A447" s="22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4"/>
      <c r="Q447" s="23"/>
      <c r="R447" s="23"/>
      <c r="S447" s="25"/>
      <c r="T447" s="26"/>
    </row>
    <row r="448" spans="1:20" ht="15.6" hidden="1">
      <c r="A448" s="22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4"/>
      <c r="Q448" s="23"/>
      <c r="R448" s="23"/>
      <c r="S448" s="25"/>
      <c r="T448" s="26"/>
    </row>
    <row r="449" spans="1:20" ht="15.6" hidden="1">
      <c r="A449" s="22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4"/>
      <c r="Q449" s="23"/>
      <c r="R449" s="23"/>
      <c r="S449" s="25"/>
      <c r="T449" s="26"/>
    </row>
    <row r="450" spans="1:20" ht="15.6" hidden="1">
      <c r="A450" s="22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4"/>
      <c r="Q450" s="23"/>
      <c r="R450" s="23"/>
      <c r="S450" s="25"/>
      <c r="T450" s="26"/>
    </row>
    <row r="451" spans="1:20" ht="15.6" hidden="1">
      <c r="A451" s="22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4"/>
      <c r="Q451" s="23"/>
      <c r="R451" s="23"/>
      <c r="S451" s="25"/>
      <c r="T451" s="26"/>
    </row>
    <row r="452" spans="1:20" ht="15.6" hidden="1">
      <c r="A452" s="22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4"/>
      <c r="Q452" s="23"/>
      <c r="R452" s="23"/>
      <c r="S452" s="25"/>
      <c r="T452" s="26"/>
    </row>
    <row r="453" spans="1:20" ht="15.6" hidden="1">
      <c r="A453" s="22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4"/>
      <c r="Q453" s="23"/>
      <c r="R453" s="23"/>
      <c r="S453" s="25"/>
      <c r="T453" s="26"/>
    </row>
    <row r="454" spans="1:20" ht="15.6" hidden="1">
      <c r="A454" s="22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4"/>
      <c r="Q454" s="23"/>
      <c r="R454" s="23"/>
      <c r="S454" s="25"/>
      <c r="T454" s="26"/>
    </row>
    <row r="455" spans="1:20" ht="15.6" hidden="1">
      <c r="A455" s="22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4"/>
      <c r="Q455" s="23"/>
      <c r="R455" s="23"/>
      <c r="S455" s="25"/>
      <c r="T455" s="26"/>
    </row>
    <row r="456" spans="1:20" ht="15.6" hidden="1">
      <c r="A456" s="22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4"/>
      <c r="Q456" s="23"/>
      <c r="R456" s="23"/>
      <c r="S456" s="25"/>
      <c r="T456" s="26"/>
    </row>
    <row r="457" spans="1:20" ht="15.6" hidden="1">
      <c r="A457" s="22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4"/>
      <c r="Q457" s="23"/>
      <c r="R457" s="23"/>
      <c r="S457" s="25"/>
      <c r="T457" s="26"/>
    </row>
    <row r="458" spans="1:20" ht="15.6" hidden="1">
      <c r="A458" s="22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4"/>
      <c r="Q458" s="23"/>
      <c r="R458" s="23"/>
      <c r="S458" s="25"/>
      <c r="T458" s="26"/>
    </row>
    <row r="459" spans="1:20" ht="15.6" hidden="1">
      <c r="A459" s="22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4"/>
      <c r="Q459" s="23"/>
      <c r="R459" s="23"/>
      <c r="S459" s="25"/>
      <c r="T459" s="26"/>
    </row>
    <row r="460" spans="1:20" ht="15.6" hidden="1">
      <c r="A460" s="22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4"/>
      <c r="Q460" s="23"/>
      <c r="R460" s="23"/>
      <c r="S460" s="25"/>
      <c r="T460" s="26"/>
    </row>
    <row r="461" spans="1:20" ht="15.6" hidden="1">
      <c r="A461" s="22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4"/>
      <c r="Q461" s="23"/>
      <c r="R461" s="23"/>
      <c r="S461" s="25"/>
      <c r="T461" s="26"/>
    </row>
    <row r="462" spans="1:20" ht="15.6" hidden="1">
      <c r="A462" s="22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4"/>
      <c r="Q462" s="23"/>
      <c r="R462" s="23"/>
      <c r="S462" s="25"/>
      <c r="T462" s="26"/>
    </row>
    <row r="463" spans="1:20" ht="15.6" hidden="1">
      <c r="A463" s="22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4"/>
      <c r="Q463" s="23"/>
      <c r="R463" s="23"/>
      <c r="S463" s="25"/>
      <c r="T463" s="26"/>
    </row>
    <row r="464" spans="1:20" ht="15.6" hidden="1">
      <c r="A464" s="22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4"/>
      <c r="Q464" s="23"/>
      <c r="R464" s="23"/>
      <c r="S464" s="25"/>
      <c r="T464" s="26"/>
    </row>
    <row r="465" spans="1:20" ht="15.6" hidden="1">
      <c r="A465" s="22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4"/>
      <c r="Q465" s="23"/>
      <c r="R465" s="23"/>
      <c r="S465" s="25"/>
      <c r="T465" s="26"/>
    </row>
    <row r="466" spans="1:20" ht="15.6" hidden="1">
      <c r="A466" s="22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4"/>
      <c r="Q466" s="23"/>
      <c r="R466" s="23"/>
      <c r="S466" s="25"/>
      <c r="T466" s="26"/>
    </row>
    <row r="467" spans="1:20" ht="15.6" hidden="1">
      <c r="A467" s="22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4"/>
      <c r="Q467" s="23"/>
      <c r="R467" s="23"/>
      <c r="S467" s="25"/>
      <c r="T467" s="26"/>
    </row>
    <row r="468" spans="1:20" ht="15.6" hidden="1">
      <c r="A468" s="22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4"/>
      <c r="Q468" s="23"/>
      <c r="R468" s="23"/>
      <c r="S468" s="25"/>
      <c r="T468" s="26"/>
    </row>
    <row r="469" spans="1:20" ht="15.6" hidden="1">
      <c r="A469" s="22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4"/>
      <c r="Q469" s="23"/>
      <c r="R469" s="23"/>
      <c r="S469" s="25"/>
      <c r="T469" s="26"/>
    </row>
    <row r="470" spans="1:20" ht="15.6" hidden="1">
      <c r="A470" s="22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4"/>
      <c r="Q470" s="23"/>
      <c r="R470" s="23"/>
      <c r="S470" s="25"/>
      <c r="T470" s="26"/>
    </row>
    <row r="471" spans="1:20" ht="15.6" hidden="1">
      <c r="A471" s="22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4"/>
      <c r="Q471" s="23"/>
      <c r="R471" s="23"/>
      <c r="S471" s="25"/>
      <c r="T471" s="26"/>
    </row>
    <row r="472" spans="1:20" ht="15.6" hidden="1">
      <c r="A472" s="22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4"/>
      <c r="Q472" s="23"/>
      <c r="R472" s="23"/>
      <c r="S472" s="25"/>
      <c r="T472" s="26"/>
    </row>
    <row r="473" spans="1:20" ht="15.6" hidden="1">
      <c r="A473" s="22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4"/>
      <c r="Q473" s="23"/>
      <c r="R473" s="23"/>
      <c r="S473" s="25"/>
      <c r="T473" s="26"/>
    </row>
    <row r="474" spans="1:20" ht="15.6" hidden="1">
      <c r="A474" s="22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4"/>
      <c r="Q474" s="23"/>
      <c r="R474" s="23"/>
      <c r="S474" s="25"/>
      <c r="T474" s="26"/>
    </row>
    <row r="475" spans="1:20" ht="15.6" hidden="1">
      <c r="A475" s="22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4"/>
      <c r="Q475" s="23"/>
      <c r="R475" s="23"/>
      <c r="S475" s="25"/>
      <c r="T475" s="26"/>
    </row>
    <row r="476" spans="1:20" ht="15.6" hidden="1">
      <c r="A476" s="22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4"/>
      <c r="Q476" s="23"/>
      <c r="R476" s="23"/>
      <c r="S476" s="25"/>
      <c r="T476" s="26"/>
    </row>
    <row r="477" spans="1:20" ht="15.6" hidden="1">
      <c r="A477" s="22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4"/>
      <c r="Q477" s="23"/>
      <c r="R477" s="23"/>
      <c r="S477" s="25"/>
      <c r="T477" s="26"/>
    </row>
    <row r="478" spans="1:20" ht="15.6" hidden="1">
      <c r="A478" s="22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4"/>
      <c r="Q478" s="23"/>
      <c r="R478" s="23"/>
      <c r="S478" s="25"/>
      <c r="T478" s="26"/>
    </row>
    <row r="479" spans="1:20" ht="15.6" hidden="1">
      <c r="A479" s="22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4"/>
      <c r="Q479" s="23"/>
      <c r="R479" s="23"/>
      <c r="S479" s="25"/>
      <c r="T479" s="26"/>
    </row>
    <row r="480" spans="1:20" ht="15.6" hidden="1">
      <c r="A480" s="22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4"/>
      <c r="Q480" s="23"/>
      <c r="R480" s="23"/>
      <c r="S480" s="25"/>
      <c r="T480" s="26"/>
    </row>
    <row r="481" spans="1:20" ht="15.6" hidden="1">
      <c r="A481" s="22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4"/>
      <c r="Q481" s="23"/>
      <c r="R481" s="23"/>
      <c r="S481" s="25"/>
      <c r="T481" s="26"/>
    </row>
    <row r="482" spans="1:20" ht="15.6" hidden="1">
      <c r="A482" s="22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4"/>
      <c r="Q482" s="23"/>
      <c r="R482" s="23"/>
      <c r="S482" s="25"/>
      <c r="T482" s="26"/>
    </row>
    <row r="483" spans="1:20" ht="15.6" hidden="1">
      <c r="A483" s="22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4"/>
      <c r="Q483" s="23"/>
      <c r="R483" s="23"/>
      <c r="S483" s="25"/>
      <c r="T483" s="26"/>
    </row>
    <row r="484" spans="1:20" ht="15.6" hidden="1">
      <c r="A484" s="22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4"/>
      <c r="Q484" s="23"/>
      <c r="R484" s="23"/>
      <c r="S484" s="25"/>
      <c r="T484" s="26"/>
    </row>
    <row r="485" spans="1:20" ht="15.6" hidden="1">
      <c r="A485" s="22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4"/>
      <c r="Q485" s="23"/>
      <c r="R485" s="23"/>
      <c r="S485" s="25"/>
      <c r="T485" s="26"/>
    </row>
    <row r="486" spans="1:20" ht="15.6" hidden="1">
      <c r="A486" s="22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4"/>
      <c r="Q486" s="23"/>
      <c r="R486" s="23"/>
      <c r="S486" s="25"/>
      <c r="T486" s="26"/>
    </row>
    <row r="487" spans="1:20" ht="15.6" hidden="1">
      <c r="A487" s="22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4"/>
      <c r="Q487" s="23"/>
      <c r="R487" s="23"/>
      <c r="S487" s="25"/>
      <c r="T487" s="26"/>
    </row>
    <row r="488" spans="1:20" ht="15.6" hidden="1">
      <c r="A488" s="22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4"/>
      <c r="Q488" s="23"/>
      <c r="R488" s="23"/>
      <c r="S488" s="25"/>
      <c r="T488" s="26"/>
    </row>
    <row r="489" spans="1:20" ht="15.6" hidden="1">
      <c r="A489" s="22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4"/>
      <c r="Q489" s="23"/>
      <c r="R489" s="23"/>
      <c r="S489" s="25"/>
      <c r="T489" s="26"/>
    </row>
    <row r="490" spans="1:20" ht="15.6" hidden="1">
      <c r="A490" s="22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4"/>
      <c r="Q490" s="23"/>
      <c r="R490" s="23"/>
      <c r="S490" s="25"/>
      <c r="T490" s="26"/>
    </row>
    <row r="491" spans="1:20" ht="15.6" hidden="1">
      <c r="A491" s="22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4"/>
      <c r="Q491" s="23"/>
      <c r="R491" s="23"/>
      <c r="S491" s="25"/>
      <c r="T491" s="26"/>
    </row>
    <row r="492" spans="1:20" ht="15.6" hidden="1">
      <c r="A492" s="22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4"/>
      <c r="Q492" s="23"/>
      <c r="R492" s="23"/>
      <c r="S492" s="25"/>
      <c r="T492" s="26"/>
    </row>
    <row r="493" spans="1:20" ht="15.6" hidden="1">
      <c r="A493" s="22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4"/>
      <c r="Q493" s="23"/>
      <c r="R493" s="23"/>
      <c r="S493" s="25"/>
      <c r="T493" s="26"/>
    </row>
    <row r="494" spans="1:20" ht="15.6" hidden="1">
      <c r="A494" s="22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4"/>
      <c r="Q494" s="23"/>
      <c r="R494" s="23"/>
      <c r="S494" s="25"/>
      <c r="T494" s="26"/>
    </row>
    <row r="495" spans="1:20" ht="15.6" hidden="1">
      <c r="A495" s="22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4"/>
      <c r="Q495" s="23"/>
      <c r="R495" s="23"/>
      <c r="S495" s="25"/>
      <c r="T495" s="26"/>
    </row>
    <row r="496" spans="1:20" ht="15.6" hidden="1">
      <c r="A496" s="22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4"/>
      <c r="Q496" s="23"/>
      <c r="R496" s="23"/>
      <c r="S496" s="25"/>
      <c r="T496" s="26"/>
    </row>
    <row r="497" spans="1:20" ht="15.6" hidden="1">
      <c r="A497" s="22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4"/>
      <c r="Q497" s="23"/>
      <c r="R497" s="23"/>
      <c r="S497" s="25"/>
      <c r="T497" s="26"/>
    </row>
    <row r="498" spans="1:20" ht="15.6" hidden="1">
      <c r="A498" s="22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4"/>
      <c r="Q498" s="23"/>
      <c r="R498" s="23"/>
      <c r="S498" s="25"/>
      <c r="T498" s="26"/>
    </row>
    <row r="499" spans="1:20" ht="15.6" hidden="1">
      <c r="A499" s="22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4"/>
      <c r="Q499" s="23"/>
      <c r="R499" s="23"/>
      <c r="S499" s="25"/>
      <c r="T499" s="26"/>
    </row>
    <row r="500" spans="1:20" ht="15.6" hidden="1">
      <c r="A500" s="22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4"/>
      <c r="Q500" s="23"/>
      <c r="R500" s="23"/>
      <c r="S500" s="25"/>
      <c r="T500" s="26"/>
    </row>
    <row r="501" spans="1:20" ht="15.6" hidden="1">
      <c r="A501" s="22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4"/>
      <c r="Q501" s="23"/>
      <c r="R501" s="23"/>
      <c r="S501" s="25"/>
      <c r="T501" s="26"/>
    </row>
    <row r="502" spans="1:20" ht="15.6" hidden="1">
      <c r="A502" s="22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4"/>
      <c r="Q502" s="23"/>
      <c r="R502" s="23"/>
      <c r="S502" s="25"/>
      <c r="T502" s="26"/>
    </row>
    <row r="503" spans="1:20" ht="15.6" hidden="1">
      <c r="A503" s="22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4"/>
      <c r="Q503" s="23"/>
      <c r="R503" s="23"/>
      <c r="S503" s="25"/>
      <c r="T503" s="26"/>
    </row>
    <row r="504" spans="1:20" ht="15.6" hidden="1">
      <c r="A504" s="22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4"/>
      <c r="Q504" s="23"/>
      <c r="R504" s="23"/>
      <c r="S504" s="25"/>
      <c r="T504" s="26"/>
    </row>
    <row r="505" spans="1:20" ht="15.6" hidden="1">
      <c r="A505" s="22"/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4"/>
      <c r="Q505" s="23"/>
      <c r="R505" s="23"/>
      <c r="S505" s="25"/>
      <c r="T505" s="26"/>
    </row>
    <row r="506" spans="1:20" ht="15.6" hidden="1">
      <c r="A506" s="22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4"/>
      <c r="Q506" s="23"/>
      <c r="R506" s="23"/>
      <c r="S506" s="25"/>
      <c r="T506" s="26"/>
    </row>
    <row r="507" spans="1:20" ht="15.6" hidden="1">
      <c r="A507" s="22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4"/>
      <c r="Q507" s="23"/>
      <c r="R507" s="23"/>
      <c r="S507" s="25"/>
      <c r="T507" s="26"/>
    </row>
    <row r="508" spans="1:20" ht="15.6" hidden="1">
      <c r="A508" s="22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4"/>
      <c r="Q508" s="23"/>
      <c r="R508" s="23"/>
      <c r="S508" s="25"/>
      <c r="T508" s="26"/>
    </row>
    <row r="509" spans="1:20" ht="15.6" hidden="1">
      <c r="A509" s="22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4"/>
      <c r="Q509" s="23"/>
      <c r="R509" s="23"/>
      <c r="S509" s="25"/>
      <c r="T509" s="26"/>
    </row>
    <row r="510" spans="1:20" ht="15.6" hidden="1">
      <c r="A510" s="22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4"/>
      <c r="Q510" s="23"/>
      <c r="R510" s="23"/>
      <c r="S510" s="25"/>
      <c r="T510" s="26"/>
    </row>
    <row r="511" spans="1:20" ht="15.6" hidden="1">
      <c r="A511" s="22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4"/>
      <c r="Q511" s="23"/>
      <c r="R511" s="23"/>
      <c r="S511" s="25"/>
      <c r="T511" s="26"/>
    </row>
    <row r="512" spans="1:20" ht="15.6" hidden="1">
      <c r="A512" s="22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4"/>
      <c r="Q512" s="23"/>
      <c r="R512" s="23"/>
      <c r="S512" s="25"/>
      <c r="T512" s="26"/>
    </row>
    <row r="513" spans="1:20" ht="15.6" hidden="1">
      <c r="A513" s="22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4"/>
      <c r="Q513" s="23"/>
      <c r="R513" s="23"/>
      <c r="S513" s="25"/>
      <c r="T513" s="26"/>
    </row>
    <row r="514" spans="1:20" ht="15.6" hidden="1">
      <c r="A514" s="22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4"/>
      <c r="Q514" s="23"/>
      <c r="R514" s="23"/>
      <c r="S514" s="25"/>
      <c r="T514" s="26"/>
    </row>
    <row r="515" spans="1:20" ht="15.6" hidden="1">
      <c r="A515" s="22"/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4"/>
      <c r="Q515" s="23"/>
      <c r="R515" s="23"/>
      <c r="S515" s="25"/>
      <c r="T515" s="26"/>
    </row>
    <row r="516" spans="1:20" ht="15.6" hidden="1">
      <c r="A516" s="22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4"/>
      <c r="Q516" s="23"/>
      <c r="R516" s="23"/>
      <c r="S516" s="25"/>
      <c r="T516" s="26"/>
    </row>
    <row r="517" spans="1:20" ht="15.6" hidden="1">
      <c r="A517" s="22"/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4"/>
      <c r="Q517" s="23"/>
      <c r="R517" s="23"/>
      <c r="S517" s="25"/>
      <c r="T517" s="26"/>
    </row>
    <row r="518" spans="1:20" ht="15.6" hidden="1">
      <c r="A518" s="22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4"/>
      <c r="Q518" s="23"/>
      <c r="R518" s="23"/>
      <c r="S518" s="25"/>
      <c r="T518" s="26"/>
    </row>
    <row r="519" spans="1:20" ht="15.6" hidden="1">
      <c r="A519" s="22"/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4"/>
      <c r="Q519" s="23"/>
      <c r="R519" s="23"/>
      <c r="S519" s="25"/>
      <c r="T519" s="26"/>
    </row>
    <row r="520" spans="1:20" ht="15.6" hidden="1">
      <c r="A520" s="22"/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4"/>
      <c r="Q520" s="23"/>
      <c r="R520" s="23"/>
      <c r="S520" s="25"/>
      <c r="T520" s="26"/>
    </row>
    <row r="521" spans="1:20" ht="15.6" hidden="1">
      <c r="A521" s="22"/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4"/>
      <c r="Q521" s="23"/>
      <c r="R521" s="23"/>
      <c r="S521" s="25"/>
      <c r="T521" s="26"/>
    </row>
    <row r="522" spans="1:20" ht="15.6" hidden="1">
      <c r="A522" s="22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4"/>
      <c r="Q522" s="23"/>
      <c r="R522" s="23"/>
      <c r="S522" s="25"/>
      <c r="T522" s="26"/>
    </row>
    <row r="523" spans="1:20" ht="15.6" hidden="1">
      <c r="A523" s="22"/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4"/>
      <c r="Q523" s="23"/>
      <c r="R523" s="23"/>
      <c r="S523" s="25"/>
      <c r="T523" s="26"/>
    </row>
    <row r="524" spans="1:20" ht="15.6" hidden="1">
      <c r="A524" s="22"/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4"/>
      <c r="Q524" s="23"/>
      <c r="R524" s="23"/>
      <c r="S524" s="25"/>
      <c r="T524" s="26"/>
    </row>
    <row r="525" spans="1:20" ht="15.6" hidden="1">
      <c r="A525" s="22"/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4"/>
      <c r="Q525" s="23"/>
      <c r="R525" s="23"/>
      <c r="S525" s="25"/>
      <c r="T525" s="26"/>
    </row>
    <row r="526" spans="1:20" ht="15.6" hidden="1">
      <c r="A526" s="22"/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4"/>
      <c r="Q526" s="23"/>
      <c r="R526" s="23"/>
      <c r="S526" s="25"/>
      <c r="T526" s="26"/>
    </row>
    <row r="527" spans="1:20" ht="15.6" hidden="1">
      <c r="A527" s="22"/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4"/>
      <c r="Q527" s="23"/>
      <c r="R527" s="23"/>
      <c r="S527" s="25"/>
      <c r="T527" s="26"/>
    </row>
    <row r="528" spans="1:20" ht="15.6" hidden="1">
      <c r="A528" s="22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4"/>
      <c r="Q528" s="23"/>
      <c r="R528" s="23"/>
      <c r="S528" s="25"/>
      <c r="T528" s="26"/>
    </row>
    <row r="529" spans="1:20" ht="15.6" hidden="1">
      <c r="A529" s="22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4"/>
      <c r="Q529" s="23"/>
      <c r="R529" s="23"/>
      <c r="S529" s="25"/>
      <c r="T529" s="26"/>
    </row>
    <row r="530" spans="1:20" ht="15.6" hidden="1">
      <c r="A530" s="22"/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4"/>
      <c r="Q530" s="23"/>
      <c r="R530" s="23"/>
      <c r="S530" s="25"/>
      <c r="T530" s="26"/>
    </row>
    <row r="531" spans="1:20" ht="15.6" hidden="1">
      <c r="A531" s="22"/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4"/>
      <c r="Q531" s="23"/>
      <c r="R531" s="23"/>
      <c r="S531" s="25"/>
      <c r="T531" s="26"/>
    </row>
    <row r="532" spans="1:20" ht="15.6" hidden="1">
      <c r="A532" s="22"/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4"/>
      <c r="Q532" s="23"/>
      <c r="R532" s="23"/>
      <c r="S532" s="25"/>
      <c r="T532" s="26"/>
    </row>
    <row r="533" spans="1:20" ht="15.6" hidden="1">
      <c r="A533" s="22"/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4"/>
      <c r="Q533" s="23"/>
      <c r="R533" s="23"/>
      <c r="S533" s="25"/>
      <c r="T533" s="26"/>
    </row>
    <row r="534" spans="1:20" ht="15.6" hidden="1">
      <c r="A534" s="22"/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4"/>
      <c r="Q534" s="23"/>
      <c r="R534" s="23"/>
      <c r="S534" s="25"/>
      <c r="T534" s="26"/>
    </row>
    <row r="535" spans="1:20" ht="15.6" hidden="1">
      <c r="A535" s="22"/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4"/>
      <c r="Q535" s="23"/>
      <c r="R535" s="23"/>
      <c r="S535" s="25"/>
      <c r="T535" s="26"/>
    </row>
    <row r="536" spans="1:20" ht="15.6" hidden="1">
      <c r="A536" s="22"/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4"/>
      <c r="Q536" s="23"/>
      <c r="R536" s="23"/>
      <c r="S536" s="25"/>
      <c r="T536" s="26"/>
    </row>
    <row r="537" spans="1:20" ht="15.6" hidden="1">
      <c r="A537" s="22"/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4"/>
      <c r="Q537" s="23"/>
      <c r="R537" s="23"/>
      <c r="S537" s="25"/>
      <c r="T537" s="26"/>
    </row>
    <row r="538" spans="1:20" ht="15.6" hidden="1">
      <c r="A538" s="22"/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4"/>
      <c r="Q538" s="23"/>
      <c r="R538" s="23"/>
      <c r="S538" s="25"/>
      <c r="T538" s="26"/>
    </row>
    <row r="539" spans="1:20" ht="15.6" hidden="1">
      <c r="A539" s="22"/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4"/>
      <c r="Q539" s="23"/>
      <c r="R539" s="23"/>
      <c r="S539" s="25"/>
      <c r="T539" s="26"/>
    </row>
    <row r="540" spans="1:20" ht="15.6" hidden="1">
      <c r="A540" s="22"/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4"/>
      <c r="Q540" s="23"/>
      <c r="R540" s="23"/>
      <c r="S540" s="25"/>
      <c r="T540" s="26"/>
    </row>
    <row r="541" spans="1:20" ht="15.6" hidden="1">
      <c r="A541" s="22"/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4"/>
      <c r="Q541" s="23"/>
      <c r="R541" s="23"/>
      <c r="S541" s="25"/>
      <c r="T541" s="26"/>
    </row>
    <row r="542" spans="1:20" ht="15.6" hidden="1">
      <c r="A542" s="22"/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4"/>
      <c r="Q542" s="23"/>
      <c r="R542" s="23"/>
      <c r="S542" s="25"/>
      <c r="T542" s="26"/>
    </row>
    <row r="543" spans="1:20" ht="15.6" hidden="1">
      <c r="A543" s="22"/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4"/>
      <c r="Q543" s="23"/>
      <c r="R543" s="23"/>
      <c r="S543" s="25"/>
      <c r="T543" s="26"/>
    </row>
    <row r="544" spans="1:20" ht="15.6" hidden="1">
      <c r="A544" s="22"/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4"/>
      <c r="Q544" s="23"/>
      <c r="R544" s="23"/>
      <c r="S544" s="25"/>
      <c r="T544" s="26"/>
    </row>
    <row r="545" spans="1:20" ht="15.6" hidden="1">
      <c r="A545" s="22"/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4"/>
      <c r="Q545" s="23"/>
      <c r="R545" s="23"/>
      <c r="S545" s="25"/>
      <c r="T545" s="26"/>
    </row>
    <row r="546" spans="1:20" ht="15.6" hidden="1">
      <c r="A546" s="22"/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4"/>
      <c r="Q546" s="23"/>
      <c r="R546" s="23"/>
      <c r="S546" s="25"/>
      <c r="T546" s="26"/>
    </row>
    <row r="547" spans="1:20" ht="15.6" hidden="1">
      <c r="A547" s="22"/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4"/>
      <c r="Q547" s="23"/>
      <c r="R547" s="23"/>
      <c r="S547" s="25"/>
      <c r="T547" s="26"/>
    </row>
    <row r="548" spans="1:20" ht="15.6" hidden="1">
      <c r="A548" s="22"/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4"/>
      <c r="Q548" s="23"/>
      <c r="R548" s="23"/>
      <c r="S548" s="25"/>
      <c r="T548" s="26"/>
    </row>
    <row r="549" spans="1:20" ht="15.6" hidden="1">
      <c r="A549" s="22"/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4"/>
      <c r="Q549" s="23"/>
      <c r="R549" s="23"/>
      <c r="S549" s="25"/>
      <c r="T549" s="26"/>
    </row>
    <row r="550" spans="1:20" ht="15.6" hidden="1">
      <c r="A550" s="22"/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4"/>
      <c r="Q550" s="23"/>
      <c r="R550" s="23"/>
      <c r="S550" s="25"/>
      <c r="T550" s="26"/>
    </row>
    <row r="551" spans="1:20" ht="15.6" hidden="1">
      <c r="A551" s="22"/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4"/>
      <c r="Q551" s="23"/>
      <c r="R551" s="23"/>
      <c r="S551" s="25"/>
      <c r="T551" s="26"/>
    </row>
    <row r="552" spans="1:20" ht="15.6" hidden="1">
      <c r="A552" s="22"/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4"/>
      <c r="Q552" s="23"/>
      <c r="R552" s="23"/>
      <c r="S552" s="25"/>
      <c r="T552" s="26"/>
    </row>
    <row r="553" spans="1:20" ht="15.6" hidden="1">
      <c r="A553" s="22"/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4"/>
      <c r="Q553" s="23"/>
      <c r="R553" s="23"/>
      <c r="S553" s="25"/>
      <c r="T553" s="26"/>
    </row>
    <row r="554" spans="1:20" ht="15.6" hidden="1">
      <c r="A554" s="22"/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4"/>
      <c r="Q554" s="23"/>
      <c r="R554" s="23"/>
      <c r="S554" s="25"/>
      <c r="T554" s="26"/>
    </row>
    <row r="555" spans="1:20" ht="15.6" hidden="1">
      <c r="A555" s="22"/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4"/>
      <c r="Q555" s="23"/>
      <c r="R555" s="23"/>
      <c r="S555" s="25"/>
      <c r="T555" s="26"/>
    </row>
    <row r="556" spans="1:20" ht="15.6" hidden="1">
      <c r="A556" s="22"/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4"/>
      <c r="Q556" s="23"/>
      <c r="R556" s="23"/>
      <c r="S556" s="25"/>
      <c r="T556" s="26"/>
    </row>
    <row r="557" spans="1:20" ht="15.6" hidden="1">
      <c r="A557" s="22"/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4"/>
      <c r="Q557" s="23"/>
      <c r="R557" s="23"/>
      <c r="S557" s="25"/>
      <c r="T557" s="26"/>
    </row>
    <row r="558" spans="1:20" ht="15.6" hidden="1">
      <c r="A558" s="22"/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4"/>
      <c r="Q558" s="23"/>
      <c r="R558" s="23"/>
      <c r="S558" s="25"/>
      <c r="T558" s="26"/>
    </row>
    <row r="559" spans="1:20" ht="15.6" hidden="1">
      <c r="A559" s="22"/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4"/>
      <c r="Q559" s="23"/>
      <c r="R559" s="23"/>
      <c r="S559" s="25"/>
      <c r="T559" s="26"/>
    </row>
    <row r="560" spans="1:20" ht="15.6" hidden="1">
      <c r="A560" s="22"/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4"/>
      <c r="Q560" s="23"/>
      <c r="R560" s="23"/>
      <c r="S560" s="25"/>
      <c r="T560" s="26"/>
    </row>
    <row r="561" spans="1:20" ht="15.6" hidden="1">
      <c r="A561" s="22"/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4"/>
      <c r="Q561" s="23"/>
      <c r="R561" s="23"/>
      <c r="S561" s="25"/>
      <c r="T561" s="26"/>
    </row>
    <row r="562" spans="1:20" ht="15.6" hidden="1">
      <c r="A562" s="22"/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4"/>
      <c r="Q562" s="23"/>
      <c r="R562" s="23"/>
      <c r="S562" s="25"/>
      <c r="T562" s="26"/>
    </row>
    <row r="563" spans="1:20" ht="15.6" hidden="1">
      <c r="A563" s="22"/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4"/>
      <c r="Q563" s="23"/>
      <c r="R563" s="23"/>
      <c r="S563" s="25"/>
      <c r="T563" s="26"/>
    </row>
    <row r="564" spans="1:20" ht="15.6" hidden="1">
      <c r="A564" s="22"/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4"/>
      <c r="Q564" s="23"/>
      <c r="R564" s="23"/>
      <c r="S564" s="25"/>
      <c r="T564" s="26"/>
    </row>
    <row r="565" spans="1:20" ht="15.6" hidden="1">
      <c r="A565" s="22"/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4"/>
      <c r="Q565" s="23"/>
      <c r="R565" s="23"/>
      <c r="S565" s="25"/>
      <c r="T565" s="26"/>
    </row>
    <row r="566" spans="1:20" ht="15.6" hidden="1">
      <c r="A566" s="22"/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4"/>
      <c r="Q566" s="23"/>
      <c r="R566" s="23"/>
      <c r="S566" s="25"/>
      <c r="T566" s="26"/>
    </row>
    <row r="567" spans="1:20" ht="15.6" hidden="1">
      <c r="A567" s="22"/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4"/>
      <c r="Q567" s="23"/>
      <c r="R567" s="23"/>
      <c r="S567" s="25"/>
      <c r="T567" s="26"/>
    </row>
    <row r="568" spans="1:20" ht="15.6" hidden="1">
      <c r="A568" s="22"/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4"/>
      <c r="Q568" s="23"/>
      <c r="R568" s="23"/>
      <c r="S568" s="25"/>
      <c r="T568" s="26"/>
    </row>
    <row r="569" spans="1:20" ht="15.6" hidden="1">
      <c r="A569" s="22"/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4"/>
      <c r="Q569" s="23"/>
      <c r="R569" s="23"/>
      <c r="S569" s="25"/>
      <c r="T569" s="26"/>
    </row>
    <row r="570" spans="1:20" ht="15.6" hidden="1">
      <c r="A570" s="22"/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4"/>
      <c r="Q570" s="23"/>
      <c r="R570" s="23"/>
      <c r="S570" s="25"/>
      <c r="T570" s="26"/>
    </row>
    <row r="571" spans="1:20" ht="15.6" hidden="1">
      <c r="A571" s="22"/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4"/>
      <c r="Q571" s="23"/>
      <c r="R571" s="23"/>
      <c r="S571" s="25"/>
      <c r="T571" s="26"/>
    </row>
    <row r="572" spans="1:20" ht="15.6" hidden="1">
      <c r="A572" s="22"/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4"/>
      <c r="Q572" s="23"/>
      <c r="R572" s="23"/>
      <c r="S572" s="25"/>
      <c r="T572" s="26"/>
    </row>
    <row r="573" spans="1:20" ht="15.6" hidden="1">
      <c r="A573" s="22"/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4"/>
      <c r="Q573" s="23"/>
      <c r="R573" s="23"/>
      <c r="S573" s="25"/>
      <c r="T573" s="26"/>
    </row>
    <row r="574" spans="1:20" ht="15.6" hidden="1">
      <c r="A574" s="22"/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4"/>
      <c r="Q574" s="23"/>
      <c r="R574" s="23"/>
      <c r="S574" s="25"/>
      <c r="T574" s="26"/>
    </row>
    <row r="575" spans="1:20" ht="15.6" hidden="1">
      <c r="A575" s="22"/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4"/>
      <c r="Q575" s="23"/>
      <c r="R575" s="23"/>
      <c r="S575" s="25"/>
      <c r="T575" s="26"/>
    </row>
    <row r="576" spans="1:20" ht="15.6" hidden="1">
      <c r="A576" s="22"/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4"/>
      <c r="Q576" s="23"/>
      <c r="R576" s="23"/>
      <c r="S576" s="25"/>
      <c r="T576" s="26"/>
    </row>
    <row r="577" spans="1:20" ht="15.6" hidden="1">
      <c r="A577" s="22"/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4"/>
      <c r="Q577" s="23"/>
      <c r="R577" s="23"/>
      <c r="S577" s="25"/>
      <c r="T577" s="26"/>
    </row>
    <row r="578" spans="1:20" ht="15.6" hidden="1">
      <c r="A578" s="22"/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4"/>
      <c r="Q578" s="23"/>
      <c r="R578" s="23"/>
      <c r="S578" s="25"/>
      <c r="T578" s="26"/>
    </row>
    <row r="579" spans="1:20" ht="15.6" hidden="1">
      <c r="A579" s="22"/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4"/>
      <c r="Q579" s="23"/>
      <c r="R579" s="23"/>
      <c r="S579" s="25"/>
      <c r="T579" s="26"/>
    </row>
    <row r="580" spans="1:20" ht="15.6" hidden="1">
      <c r="A580" s="22"/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4"/>
      <c r="Q580" s="23"/>
      <c r="R580" s="23"/>
      <c r="S580" s="25"/>
      <c r="T580" s="26"/>
    </row>
    <row r="581" spans="1:20" ht="15.6" hidden="1">
      <c r="A581" s="22"/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4"/>
      <c r="Q581" s="23"/>
      <c r="R581" s="23"/>
      <c r="S581" s="25"/>
      <c r="T581" s="26"/>
    </row>
    <row r="582" spans="1:20" ht="15.6" hidden="1">
      <c r="A582" s="22"/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4"/>
      <c r="Q582" s="23"/>
      <c r="R582" s="23"/>
      <c r="S582" s="25"/>
      <c r="T582" s="26"/>
    </row>
    <row r="583" spans="1:20" ht="15.6" hidden="1">
      <c r="A583" s="22"/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4"/>
      <c r="Q583" s="23"/>
      <c r="R583" s="23"/>
      <c r="S583" s="25"/>
      <c r="T583" s="26"/>
    </row>
    <row r="584" spans="1:20" ht="15.6" hidden="1">
      <c r="A584" s="22"/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4"/>
      <c r="Q584" s="23"/>
      <c r="R584" s="23"/>
      <c r="S584" s="25"/>
      <c r="T584" s="26"/>
    </row>
    <row r="585" spans="1:20" ht="15.6" hidden="1">
      <c r="A585" s="22"/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4"/>
      <c r="Q585" s="23"/>
      <c r="R585" s="23"/>
      <c r="S585" s="25"/>
      <c r="T585" s="26"/>
    </row>
    <row r="586" spans="1:20" ht="15.6" hidden="1">
      <c r="A586" s="22"/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4"/>
      <c r="Q586" s="23"/>
      <c r="R586" s="23"/>
      <c r="S586" s="25"/>
      <c r="T586" s="26"/>
    </row>
    <row r="587" spans="1:20" ht="15.6" hidden="1">
      <c r="A587" s="22"/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4"/>
      <c r="Q587" s="23"/>
      <c r="R587" s="23"/>
      <c r="S587" s="25"/>
      <c r="T587" s="26"/>
    </row>
    <row r="588" spans="1:20" ht="15.6" hidden="1">
      <c r="A588" s="22"/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4"/>
      <c r="Q588" s="23"/>
      <c r="R588" s="23"/>
      <c r="S588" s="25"/>
      <c r="T588" s="26"/>
    </row>
    <row r="589" spans="1:20" ht="15.6" hidden="1">
      <c r="A589" s="22"/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4"/>
      <c r="Q589" s="23"/>
      <c r="R589" s="23"/>
      <c r="S589" s="25"/>
      <c r="T589" s="26"/>
    </row>
    <row r="590" spans="1:20" ht="15.6" hidden="1">
      <c r="A590" s="22"/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4"/>
      <c r="Q590" s="23"/>
      <c r="R590" s="23"/>
      <c r="S590" s="25"/>
      <c r="T590" s="26"/>
    </row>
    <row r="591" spans="1:20" ht="15.6" hidden="1">
      <c r="A591" s="22"/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4"/>
      <c r="Q591" s="23"/>
      <c r="R591" s="23"/>
      <c r="S591" s="25"/>
      <c r="T591" s="26"/>
    </row>
    <row r="592" spans="1:20" ht="15.6" hidden="1">
      <c r="A592" s="22"/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4"/>
      <c r="Q592" s="23"/>
      <c r="R592" s="23"/>
      <c r="S592" s="25"/>
      <c r="T592" s="26"/>
    </row>
    <row r="593" spans="1:20" ht="15.6" hidden="1">
      <c r="A593" s="22"/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4"/>
      <c r="Q593" s="23"/>
      <c r="R593" s="23"/>
      <c r="S593" s="25"/>
      <c r="T593" s="26"/>
    </row>
    <row r="594" spans="1:20" ht="15.6" hidden="1">
      <c r="A594" s="22"/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4"/>
      <c r="Q594" s="23"/>
      <c r="R594" s="23"/>
      <c r="S594" s="25"/>
      <c r="T594" s="26"/>
    </row>
    <row r="595" spans="1:20" ht="15.6" hidden="1">
      <c r="A595" s="22"/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4"/>
      <c r="Q595" s="23"/>
      <c r="R595" s="23"/>
      <c r="S595" s="25"/>
      <c r="T595" s="26"/>
    </row>
    <row r="596" spans="1:20" ht="15.6" hidden="1">
      <c r="A596" s="22"/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4"/>
      <c r="Q596" s="23"/>
      <c r="R596" s="23"/>
      <c r="S596" s="25"/>
      <c r="T596" s="26"/>
    </row>
    <row r="597" spans="1:20" ht="15.6" hidden="1">
      <c r="A597" s="22"/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4"/>
      <c r="Q597" s="23"/>
      <c r="R597" s="23"/>
      <c r="S597" s="25"/>
      <c r="T597" s="26"/>
    </row>
    <row r="598" spans="1:20" ht="15.6" hidden="1">
      <c r="A598" s="22"/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4"/>
      <c r="Q598" s="23"/>
      <c r="R598" s="23"/>
      <c r="S598" s="25"/>
      <c r="T598" s="26"/>
    </row>
    <row r="599" spans="1:20" ht="15.6" hidden="1">
      <c r="A599" s="22"/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4"/>
      <c r="Q599" s="23"/>
      <c r="R599" s="23"/>
      <c r="S599" s="25"/>
      <c r="T599" s="26"/>
    </row>
    <row r="600" spans="1:20" ht="15.6" hidden="1">
      <c r="A600" s="22"/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4"/>
      <c r="Q600" s="23"/>
      <c r="R600" s="23"/>
      <c r="S600" s="25"/>
      <c r="T600" s="26"/>
    </row>
    <row r="601" spans="1:20" ht="15.6" hidden="1">
      <c r="A601" s="22"/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4"/>
      <c r="Q601" s="23"/>
      <c r="R601" s="23"/>
      <c r="S601" s="25"/>
      <c r="T601" s="26"/>
    </row>
    <row r="602" spans="1:20" ht="15.6" hidden="1">
      <c r="A602" s="22"/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4"/>
      <c r="Q602" s="23"/>
      <c r="R602" s="23"/>
      <c r="S602" s="25"/>
      <c r="T602" s="26"/>
    </row>
    <row r="603" spans="1:20" ht="15.6" hidden="1">
      <c r="A603" s="22"/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4"/>
      <c r="Q603" s="23"/>
      <c r="R603" s="23"/>
      <c r="S603" s="25"/>
      <c r="T603" s="26"/>
    </row>
    <row r="604" spans="1:20" ht="15.6" hidden="1">
      <c r="A604" s="22"/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4"/>
      <c r="Q604" s="23"/>
      <c r="R604" s="23"/>
      <c r="S604" s="25"/>
      <c r="T604" s="26"/>
    </row>
    <row r="605" spans="1:20" ht="15.6" hidden="1">
      <c r="A605" s="22"/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4"/>
      <c r="Q605" s="23"/>
      <c r="R605" s="23"/>
      <c r="S605" s="25"/>
      <c r="T605" s="26"/>
    </row>
    <row r="606" spans="1:20" ht="15.6" hidden="1">
      <c r="A606" s="22"/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4"/>
      <c r="Q606" s="23"/>
      <c r="R606" s="23"/>
      <c r="S606" s="25"/>
      <c r="T606" s="26"/>
    </row>
    <row r="607" spans="1:20" ht="15.6" hidden="1">
      <c r="A607" s="22"/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4"/>
      <c r="Q607" s="23"/>
      <c r="R607" s="23"/>
      <c r="S607" s="25"/>
      <c r="T607" s="26"/>
    </row>
    <row r="608" spans="1:20" ht="15.6" hidden="1">
      <c r="A608" s="22"/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4"/>
      <c r="Q608" s="23"/>
      <c r="R608" s="23"/>
      <c r="S608" s="25"/>
      <c r="T608" s="26"/>
    </row>
    <row r="609" spans="1:20" ht="15.6" hidden="1">
      <c r="A609" s="22"/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4"/>
      <c r="Q609" s="23"/>
      <c r="R609" s="23"/>
      <c r="S609" s="25"/>
      <c r="T609" s="26"/>
    </row>
    <row r="610" spans="1:20" ht="15.6" hidden="1">
      <c r="A610" s="22"/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4"/>
      <c r="Q610" s="23"/>
      <c r="R610" s="23"/>
      <c r="S610" s="25"/>
      <c r="T610" s="26"/>
    </row>
    <row r="611" spans="1:20" ht="15.6" hidden="1">
      <c r="A611" s="22"/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4"/>
      <c r="Q611" s="23"/>
      <c r="R611" s="23"/>
      <c r="S611" s="25"/>
      <c r="T611" s="26"/>
    </row>
    <row r="612" spans="1:20" ht="15.6" hidden="1">
      <c r="A612" s="22"/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4"/>
      <c r="Q612" s="23"/>
      <c r="R612" s="23"/>
      <c r="S612" s="25"/>
      <c r="T612" s="26"/>
    </row>
    <row r="613" spans="1:20" ht="15.6" hidden="1">
      <c r="A613" s="22"/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4"/>
      <c r="Q613" s="23"/>
      <c r="R613" s="23"/>
      <c r="S613" s="25"/>
      <c r="T613" s="26"/>
    </row>
    <row r="614" spans="1:20" ht="15.6" hidden="1">
      <c r="A614" s="22"/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4"/>
      <c r="Q614" s="23"/>
      <c r="R614" s="23"/>
      <c r="S614" s="25"/>
      <c r="T614" s="26"/>
    </row>
    <row r="615" spans="1:20" ht="15.6" hidden="1">
      <c r="A615" s="22"/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4"/>
      <c r="Q615" s="23"/>
      <c r="R615" s="23"/>
      <c r="S615" s="25"/>
      <c r="T615" s="26"/>
    </row>
    <row r="616" spans="1:20" ht="15.6" hidden="1">
      <c r="A616" s="22"/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4"/>
      <c r="Q616" s="23"/>
      <c r="R616" s="23"/>
      <c r="S616" s="25"/>
      <c r="T616" s="26"/>
    </row>
    <row r="617" spans="1:20" ht="15.6" hidden="1">
      <c r="A617" s="22"/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4"/>
      <c r="Q617" s="23"/>
      <c r="R617" s="23"/>
      <c r="S617" s="25"/>
      <c r="T617" s="26"/>
    </row>
    <row r="618" spans="1:20" ht="15.6" hidden="1">
      <c r="A618" s="22"/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4"/>
      <c r="Q618" s="23"/>
      <c r="R618" s="23"/>
      <c r="S618" s="25"/>
      <c r="T618" s="26"/>
    </row>
    <row r="619" spans="1:20" ht="15.6" hidden="1">
      <c r="A619" s="22"/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4"/>
      <c r="Q619" s="23"/>
      <c r="R619" s="23"/>
      <c r="S619" s="25"/>
      <c r="T619" s="26"/>
    </row>
    <row r="620" spans="1:20" ht="15.6" hidden="1">
      <c r="A620" s="22"/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4"/>
      <c r="Q620" s="23"/>
      <c r="R620" s="23"/>
      <c r="S620" s="25"/>
      <c r="T620" s="26"/>
    </row>
    <row r="621" spans="1:20" ht="15.6" hidden="1">
      <c r="A621" s="22"/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4"/>
      <c r="Q621" s="23"/>
      <c r="R621" s="23"/>
      <c r="S621" s="25"/>
      <c r="T621" s="26"/>
    </row>
    <row r="622" spans="1:20" ht="15.6" hidden="1">
      <c r="A622" s="22"/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4"/>
      <c r="Q622" s="23"/>
      <c r="R622" s="23"/>
      <c r="S622" s="25"/>
      <c r="T622" s="26"/>
    </row>
    <row r="623" spans="1:20" ht="15.6" hidden="1">
      <c r="A623" s="22"/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4"/>
      <c r="Q623" s="23"/>
      <c r="R623" s="23"/>
      <c r="S623" s="25"/>
      <c r="T623" s="26"/>
    </row>
    <row r="624" spans="1:20" ht="15.6" hidden="1">
      <c r="A624" s="22"/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4"/>
      <c r="Q624" s="23"/>
      <c r="R624" s="23"/>
      <c r="S624" s="25"/>
      <c r="T624" s="26"/>
    </row>
    <row r="625" spans="1:20" ht="15.6" hidden="1">
      <c r="A625" s="22"/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4"/>
      <c r="Q625" s="23"/>
      <c r="R625" s="23"/>
      <c r="S625" s="25"/>
      <c r="T625" s="26"/>
    </row>
    <row r="626" spans="1:20" ht="15.6" hidden="1">
      <c r="A626" s="22"/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4"/>
      <c r="Q626" s="23"/>
      <c r="R626" s="23"/>
      <c r="S626" s="25"/>
      <c r="T626" s="26"/>
    </row>
    <row r="627" spans="1:20" ht="15.6" hidden="1">
      <c r="A627" s="22"/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4"/>
      <c r="Q627" s="23"/>
      <c r="R627" s="23"/>
      <c r="S627" s="25"/>
      <c r="T627" s="26"/>
    </row>
    <row r="628" spans="1:20" ht="15.6" hidden="1">
      <c r="A628" s="22"/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4"/>
      <c r="Q628" s="23"/>
      <c r="R628" s="23"/>
      <c r="S628" s="25"/>
      <c r="T628" s="26"/>
    </row>
    <row r="629" spans="1:20" ht="15.6" hidden="1">
      <c r="A629" s="22"/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4"/>
      <c r="Q629" s="23"/>
      <c r="R629" s="23"/>
      <c r="S629" s="25"/>
      <c r="T629" s="26"/>
    </row>
    <row r="630" spans="1:20" ht="15.6" hidden="1">
      <c r="A630" s="22"/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4"/>
      <c r="Q630" s="23"/>
      <c r="R630" s="23"/>
      <c r="S630" s="25"/>
      <c r="T630" s="26"/>
    </row>
    <row r="631" spans="1:20" ht="15.6" hidden="1">
      <c r="A631" s="22"/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4"/>
      <c r="Q631" s="23"/>
      <c r="R631" s="23"/>
      <c r="S631" s="25"/>
      <c r="T631" s="26"/>
    </row>
    <row r="632" spans="1:20" ht="15.6" hidden="1">
      <c r="A632" s="22"/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4"/>
      <c r="Q632" s="23"/>
      <c r="R632" s="23"/>
      <c r="S632" s="25"/>
      <c r="T632" s="26"/>
    </row>
    <row r="633" spans="1:20" ht="15.6" hidden="1">
      <c r="A633" s="22"/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4"/>
      <c r="Q633" s="23"/>
      <c r="R633" s="23"/>
      <c r="S633" s="25"/>
      <c r="T633" s="26"/>
    </row>
    <row r="634" spans="1:20" ht="15.6" hidden="1">
      <c r="A634" s="22"/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4"/>
      <c r="Q634" s="23"/>
      <c r="R634" s="23"/>
      <c r="S634" s="25"/>
      <c r="T634" s="26"/>
    </row>
    <row r="635" spans="1:20" ht="15.6" hidden="1">
      <c r="A635" s="22"/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4"/>
      <c r="Q635" s="23"/>
      <c r="R635" s="23"/>
      <c r="S635" s="25"/>
      <c r="T635" s="26"/>
    </row>
    <row r="636" spans="1:20" ht="15.6" hidden="1">
      <c r="A636" s="22"/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4"/>
      <c r="Q636" s="23"/>
      <c r="R636" s="23"/>
      <c r="S636" s="25"/>
      <c r="T636" s="26"/>
    </row>
    <row r="637" spans="1:20" ht="15.6" hidden="1">
      <c r="A637" s="22"/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4"/>
      <c r="Q637" s="23"/>
      <c r="R637" s="23"/>
      <c r="S637" s="25"/>
      <c r="T637" s="26"/>
    </row>
    <row r="638" spans="1:20" ht="15.6" hidden="1">
      <c r="A638" s="22"/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4"/>
      <c r="Q638" s="23"/>
      <c r="R638" s="23"/>
      <c r="S638" s="25"/>
      <c r="T638" s="26"/>
    </row>
    <row r="639" spans="1:20" ht="15.6" hidden="1">
      <c r="A639" s="22"/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4"/>
      <c r="Q639" s="23"/>
      <c r="R639" s="23"/>
      <c r="S639" s="25"/>
      <c r="T639" s="26"/>
    </row>
    <row r="640" spans="1:20" ht="15.6" hidden="1">
      <c r="A640" s="22"/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4"/>
      <c r="Q640" s="23"/>
      <c r="R640" s="23"/>
      <c r="S640" s="25"/>
      <c r="T640" s="26"/>
    </row>
    <row r="641" spans="1:20" ht="15.6" hidden="1">
      <c r="A641" s="22"/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4"/>
      <c r="Q641" s="23"/>
      <c r="R641" s="23"/>
      <c r="S641" s="25"/>
      <c r="T641" s="26"/>
    </row>
    <row r="642" spans="1:20" ht="15.6" hidden="1">
      <c r="A642" s="22"/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4"/>
      <c r="Q642" s="23"/>
      <c r="R642" s="23"/>
      <c r="S642" s="25"/>
      <c r="T642" s="26"/>
    </row>
    <row r="643" spans="1:20" ht="15.6" hidden="1">
      <c r="A643" s="22"/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4"/>
      <c r="Q643" s="23"/>
      <c r="R643" s="23"/>
      <c r="S643" s="25"/>
      <c r="T643" s="26"/>
    </row>
    <row r="644" spans="1:20" ht="15.6" hidden="1">
      <c r="A644" s="22"/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4"/>
      <c r="Q644" s="23"/>
      <c r="R644" s="23"/>
      <c r="S644" s="25"/>
      <c r="T644" s="26"/>
    </row>
    <row r="645" spans="1:20" ht="15.6" hidden="1">
      <c r="A645" s="22"/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4"/>
      <c r="Q645" s="23"/>
      <c r="R645" s="23"/>
      <c r="S645" s="25"/>
      <c r="T645" s="26"/>
    </row>
    <row r="646" spans="1:20" ht="15.6" hidden="1">
      <c r="A646" s="22"/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4"/>
      <c r="Q646" s="23"/>
      <c r="R646" s="23"/>
      <c r="S646" s="25"/>
      <c r="T646" s="26"/>
    </row>
    <row r="647" spans="1:20" ht="15.6" hidden="1">
      <c r="A647" s="22"/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4"/>
      <c r="Q647" s="23"/>
      <c r="R647" s="23"/>
      <c r="S647" s="25"/>
      <c r="T647" s="26"/>
    </row>
    <row r="648" spans="1:20" ht="15.6" hidden="1">
      <c r="A648" s="22"/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4"/>
      <c r="Q648" s="23"/>
      <c r="R648" s="23"/>
      <c r="S648" s="25"/>
      <c r="T648" s="26"/>
    </row>
    <row r="649" spans="1:20" ht="15.6" hidden="1">
      <c r="A649" s="22"/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4"/>
      <c r="Q649" s="23"/>
      <c r="R649" s="23"/>
      <c r="S649" s="25"/>
      <c r="T649" s="26"/>
    </row>
    <row r="650" spans="1:20" ht="15.6" hidden="1">
      <c r="A650" s="22"/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4"/>
      <c r="Q650" s="23"/>
      <c r="R650" s="23"/>
      <c r="S650" s="25"/>
      <c r="T650" s="26"/>
    </row>
    <row r="651" spans="1:20" ht="15.6" hidden="1">
      <c r="A651" s="22"/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4"/>
      <c r="Q651" s="23"/>
      <c r="R651" s="23"/>
      <c r="S651" s="25"/>
      <c r="T651" s="26"/>
    </row>
    <row r="652" spans="1:20" ht="15.6" hidden="1">
      <c r="A652" s="22"/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4"/>
      <c r="Q652" s="23"/>
      <c r="R652" s="23"/>
      <c r="S652" s="25"/>
      <c r="T652" s="26"/>
    </row>
    <row r="653" spans="1:20" ht="15.6" hidden="1">
      <c r="A653" s="22"/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4"/>
      <c r="Q653" s="23"/>
      <c r="R653" s="23"/>
      <c r="S653" s="25"/>
      <c r="T653" s="26"/>
    </row>
    <row r="654" spans="1:20" ht="15.6" hidden="1">
      <c r="A654" s="22"/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4"/>
      <c r="Q654" s="23"/>
      <c r="R654" s="23"/>
      <c r="S654" s="25"/>
      <c r="T654" s="26"/>
    </row>
    <row r="655" spans="1:20" ht="15.6" hidden="1">
      <c r="A655" s="22"/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4"/>
      <c r="Q655" s="23"/>
      <c r="R655" s="23"/>
      <c r="S655" s="25"/>
      <c r="T655" s="26"/>
    </row>
    <row r="656" spans="1:20" ht="15.6" hidden="1">
      <c r="A656" s="22"/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4"/>
      <c r="Q656" s="23"/>
      <c r="R656" s="23"/>
      <c r="S656" s="25"/>
      <c r="T656" s="26"/>
    </row>
    <row r="657" spans="1:20" ht="15.6" hidden="1">
      <c r="A657" s="22"/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4"/>
      <c r="Q657" s="23"/>
      <c r="R657" s="23"/>
      <c r="S657" s="25"/>
      <c r="T657" s="26"/>
    </row>
    <row r="658" spans="1:20" ht="15.6" hidden="1">
      <c r="A658" s="22"/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4"/>
      <c r="Q658" s="23"/>
      <c r="R658" s="23"/>
      <c r="S658" s="25"/>
      <c r="T658" s="26"/>
    </row>
    <row r="659" spans="1:20" ht="15.6" hidden="1">
      <c r="A659" s="22"/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4"/>
      <c r="Q659" s="23"/>
      <c r="R659" s="23"/>
      <c r="S659" s="25"/>
      <c r="T659" s="26"/>
    </row>
    <row r="660" spans="1:20" ht="15.6" hidden="1">
      <c r="A660" s="22"/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4"/>
      <c r="Q660" s="23"/>
      <c r="R660" s="23"/>
      <c r="S660" s="25"/>
      <c r="T660" s="26"/>
    </row>
    <row r="661" spans="1:20" ht="15.6" hidden="1">
      <c r="A661" s="22"/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4"/>
      <c r="Q661" s="23"/>
      <c r="R661" s="23"/>
      <c r="S661" s="25"/>
      <c r="T661" s="26"/>
    </row>
    <row r="662" spans="1:20" ht="15.6" hidden="1">
      <c r="A662" s="22"/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4"/>
      <c r="Q662" s="23"/>
      <c r="R662" s="23"/>
      <c r="S662" s="25"/>
      <c r="T662" s="26"/>
    </row>
    <row r="663" spans="1:20" ht="15.6" hidden="1">
      <c r="A663" s="22"/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4"/>
      <c r="Q663" s="23"/>
      <c r="R663" s="23"/>
      <c r="S663" s="25"/>
      <c r="T663" s="26"/>
    </row>
    <row r="664" spans="1:20" ht="15.6" hidden="1">
      <c r="A664" s="22"/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4"/>
      <c r="Q664" s="23"/>
      <c r="R664" s="23"/>
      <c r="S664" s="25"/>
      <c r="T664" s="26"/>
    </row>
    <row r="665" spans="1:20" ht="15.6" hidden="1">
      <c r="A665" s="22"/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4"/>
      <c r="Q665" s="23"/>
      <c r="R665" s="23"/>
      <c r="S665" s="25"/>
      <c r="T665" s="26"/>
    </row>
    <row r="666" spans="1:20" ht="15.6" hidden="1">
      <c r="A666" s="22"/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4"/>
      <c r="Q666" s="23"/>
      <c r="R666" s="23"/>
      <c r="S666" s="25"/>
      <c r="T666" s="26"/>
    </row>
    <row r="667" spans="1:20" ht="15.6" hidden="1">
      <c r="A667" s="22"/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4"/>
      <c r="Q667" s="23"/>
      <c r="R667" s="23"/>
      <c r="S667" s="25"/>
      <c r="T667" s="26"/>
    </row>
    <row r="668" spans="1:20" ht="15.6" hidden="1">
      <c r="A668" s="22"/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4"/>
      <c r="Q668" s="23"/>
      <c r="R668" s="23"/>
      <c r="S668" s="25"/>
      <c r="T668" s="26"/>
    </row>
    <row r="669" spans="1:20" ht="15.6" hidden="1">
      <c r="A669" s="22"/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4"/>
      <c r="Q669" s="23"/>
      <c r="R669" s="23"/>
      <c r="S669" s="25"/>
      <c r="T669" s="26"/>
    </row>
    <row r="670" spans="1:20" ht="15.6" hidden="1">
      <c r="A670" s="22"/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4"/>
      <c r="Q670" s="23"/>
      <c r="R670" s="23"/>
      <c r="S670" s="25"/>
      <c r="T670" s="26"/>
    </row>
    <row r="671" spans="1:20" ht="15.6" hidden="1">
      <c r="A671" s="22"/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4"/>
      <c r="Q671" s="23"/>
      <c r="R671" s="23"/>
      <c r="S671" s="25"/>
      <c r="T671" s="26"/>
    </row>
    <row r="672" spans="1:20" ht="15.6" hidden="1">
      <c r="A672" s="22"/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4"/>
      <c r="Q672" s="23"/>
      <c r="R672" s="23"/>
      <c r="S672" s="25"/>
      <c r="T672" s="26"/>
    </row>
    <row r="673" spans="1:20" ht="15.6" hidden="1">
      <c r="A673" s="22"/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4"/>
      <c r="Q673" s="23"/>
      <c r="R673" s="23"/>
      <c r="S673" s="25"/>
      <c r="T673" s="26"/>
    </row>
    <row r="674" spans="1:20" ht="15.6" hidden="1">
      <c r="A674" s="22"/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4"/>
      <c r="Q674" s="23"/>
      <c r="R674" s="23"/>
      <c r="S674" s="25"/>
      <c r="T674" s="26"/>
    </row>
    <row r="675" spans="1:20" ht="15.6" hidden="1">
      <c r="A675" s="22"/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4"/>
      <c r="Q675" s="23"/>
      <c r="R675" s="23"/>
      <c r="S675" s="25"/>
      <c r="T675" s="26"/>
    </row>
    <row r="676" spans="1:20" ht="15.6" hidden="1">
      <c r="A676" s="22"/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4"/>
      <c r="Q676" s="23"/>
      <c r="R676" s="23"/>
      <c r="S676" s="25"/>
      <c r="T676" s="26"/>
    </row>
    <row r="677" spans="1:20" ht="15.6" hidden="1">
      <c r="A677" s="22"/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4"/>
      <c r="Q677" s="23"/>
      <c r="R677" s="23"/>
      <c r="S677" s="25"/>
      <c r="T677" s="26"/>
    </row>
    <row r="678" spans="1:20" ht="15.6" hidden="1">
      <c r="A678" s="22"/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4"/>
      <c r="Q678" s="23"/>
      <c r="R678" s="23"/>
      <c r="S678" s="25"/>
      <c r="T678" s="26"/>
    </row>
    <row r="679" spans="1:20" ht="15.6" hidden="1">
      <c r="A679" s="22"/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4"/>
      <c r="Q679" s="23"/>
      <c r="R679" s="23"/>
      <c r="S679" s="25"/>
      <c r="T679" s="26"/>
    </row>
    <row r="680" spans="1:20" ht="15.6" hidden="1">
      <c r="A680" s="22"/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4"/>
      <c r="Q680" s="23"/>
      <c r="R680" s="23"/>
      <c r="S680" s="25"/>
      <c r="T680" s="26"/>
    </row>
    <row r="681" spans="1:20" ht="15.6" hidden="1">
      <c r="A681" s="22"/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4"/>
      <c r="Q681" s="23"/>
      <c r="R681" s="23"/>
      <c r="S681" s="25"/>
      <c r="T681" s="26"/>
    </row>
    <row r="682" spans="1:20" ht="15.6" hidden="1">
      <c r="A682" s="22"/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4"/>
      <c r="Q682" s="23"/>
      <c r="R682" s="23"/>
      <c r="S682" s="25"/>
      <c r="T682" s="26"/>
    </row>
    <row r="683" spans="1:20" ht="15.6" hidden="1">
      <c r="A683" s="22"/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4"/>
      <c r="Q683" s="23"/>
      <c r="R683" s="23"/>
      <c r="S683" s="25"/>
      <c r="T683" s="26"/>
    </row>
    <row r="684" spans="1:20" ht="15.6" hidden="1">
      <c r="A684" s="22"/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4"/>
      <c r="Q684" s="23"/>
      <c r="R684" s="23"/>
      <c r="S684" s="25"/>
      <c r="T684" s="26"/>
    </row>
    <row r="685" spans="1:20" ht="15.6" hidden="1">
      <c r="A685" s="22"/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4"/>
      <c r="Q685" s="23"/>
      <c r="R685" s="23"/>
      <c r="S685" s="25"/>
      <c r="T685" s="26"/>
    </row>
    <row r="686" spans="1:20" ht="15.6" hidden="1">
      <c r="A686" s="22"/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4"/>
      <c r="Q686" s="23"/>
      <c r="R686" s="23"/>
      <c r="S686" s="25"/>
      <c r="T686" s="26"/>
    </row>
    <row r="687" spans="1:20" ht="15.6" hidden="1">
      <c r="A687" s="22"/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4"/>
      <c r="Q687" s="23"/>
      <c r="R687" s="23"/>
      <c r="S687" s="25"/>
      <c r="T687" s="26"/>
    </row>
    <row r="688" spans="1:20" ht="15.6" hidden="1">
      <c r="A688" s="22"/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4"/>
      <c r="Q688" s="23"/>
      <c r="R688" s="23"/>
      <c r="S688" s="25"/>
      <c r="T688" s="26"/>
    </row>
    <row r="689" spans="1:20" ht="15.6" hidden="1">
      <c r="A689" s="22"/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4"/>
      <c r="Q689" s="23"/>
      <c r="R689" s="23"/>
      <c r="S689" s="25"/>
      <c r="T689" s="26"/>
    </row>
    <row r="690" spans="1:20" ht="15.6" hidden="1">
      <c r="A690" s="22"/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4"/>
      <c r="Q690" s="23"/>
      <c r="R690" s="23"/>
      <c r="S690" s="25"/>
      <c r="T690" s="26"/>
    </row>
    <row r="691" spans="1:20" ht="15.6" hidden="1">
      <c r="A691" s="22"/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4"/>
      <c r="Q691" s="23"/>
      <c r="R691" s="23"/>
      <c r="S691" s="25"/>
      <c r="T691" s="26"/>
    </row>
    <row r="692" spans="1:20" ht="15.6" hidden="1">
      <c r="A692" s="22"/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4"/>
      <c r="Q692" s="23"/>
      <c r="R692" s="23"/>
      <c r="S692" s="25"/>
      <c r="T692" s="26"/>
    </row>
    <row r="693" spans="1:20" ht="15.6" hidden="1">
      <c r="A693" s="22"/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4"/>
      <c r="Q693" s="23"/>
      <c r="R693" s="23"/>
      <c r="S693" s="25"/>
      <c r="T693" s="26"/>
    </row>
    <row r="694" spans="1:20" ht="15.6" hidden="1">
      <c r="A694" s="22"/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4"/>
      <c r="Q694" s="23"/>
      <c r="R694" s="23"/>
      <c r="S694" s="25"/>
      <c r="T694" s="26"/>
    </row>
    <row r="695" spans="1:20" ht="15.6" hidden="1">
      <c r="A695" s="22"/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4"/>
      <c r="Q695" s="23"/>
      <c r="R695" s="23"/>
      <c r="S695" s="25"/>
      <c r="T695" s="26"/>
    </row>
    <row r="696" spans="1:20" ht="15.6" hidden="1">
      <c r="A696" s="22"/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4"/>
      <c r="Q696" s="23"/>
      <c r="R696" s="23"/>
      <c r="S696" s="25"/>
      <c r="T696" s="26"/>
    </row>
    <row r="697" spans="1:20" ht="15.6" hidden="1">
      <c r="A697" s="22"/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4"/>
      <c r="Q697" s="23"/>
      <c r="R697" s="23"/>
      <c r="S697" s="25"/>
      <c r="T697" s="26"/>
    </row>
    <row r="698" spans="1:20" ht="15.6" hidden="1">
      <c r="A698" s="22"/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4"/>
      <c r="Q698" s="23"/>
      <c r="R698" s="23"/>
      <c r="S698" s="25"/>
      <c r="T698" s="26"/>
    </row>
    <row r="699" spans="1:20" ht="15.6" hidden="1">
      <c r="A699" s="22"/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4"/>
      <c r="Q699" s="23"/>
      <c r="R699" s="23"/>
      <c r="S699" s="25"/>
      <c r="T699" s="26"/>
    </row>
    <row r="700" spans="1:20" ht="15.6" hidden="1">
      <c r="A700" s="22"/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4"/>
      <c r="Q700" s="23"/>
      <c r="R700" s="23"/>
      <c r="S700" s="25"/>
      <c r="T700" s="26"/>
    </row>
    <row r="701" spans="1:20" ht="15.6" hidden="1">
      <c r="A701" s="22"/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4"/>
      <c r="Q701" s="23"/>
      <c r="R701" s="23"/>
      <c r="S701" s="25"/>
      <c r="T701" s="26"/>
    </row>
    <row r="702" spans="1:20" ht="15.6" hidden="1">
      <c r="A702" s="22"/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4"/>
      <c r="Q702" s="23"/>
      <c r="R702" s="23"/>
      <c r="S702" s="25"/>
      <c r="T702" s="26"/>
    </row>
    <row r="703" spans="1:20" ht="15.6" hidden="1">
      <c r="A703" s="22"/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4"/>
      <c r="Q703" s="23"/>
      <c r="R703" s="23"/>
      <c r="S703" s="25"/>
      <c r="T703" s="26"/>
    </row>
    <row r="704" spans="1:20" ht="15.6" hidden="1">
      <c r="A704" s="22"/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4"/>
      <c r="Q704" s="23"/>
      <c r="R704" s="23"/>
      <c r="S704" s="25"/>
      <c r="T704" s="26"/>
    </row>
    <row r="705" spans="1:20" ht="15.6" hidden="1">
      <c r="A705" s="22"/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4"/>
      <c r="Q705" s="23"/>
      <c r="R705" s="23"/>
      <c r="S705" s="25"/>
      <c r="T705" s="26"/>
    </row>
    <row r="706" spans="1:20" ht="15.6" hidden="1">
      <c r="A706" s="22"/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4"/>
      <c r="Q706" s="23"/>
      <c r="R706" s="23"/>
      <c r="S706" s="25"/>
      <c r="T706" s="26"/>
    </row>
    <row r="707" spans="1:20" ht="15.6" hidden="1">
      <c r="A707" s="22"/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4"/>
      <c r="Q707" s="23"/>
      <c r="R707" s="23"/>
      <c r="S707" s="25"/>
      <c r="T707" s="26"/>
    </row>
    <row r="708" spans="1:20" ht="15.6" hidden="1">
      <c r="A708" s="22"/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4"/>
      <c r="Q708" s="23"/>
      <c r="R708" s="23"/>
      <c r="S708" s="25"/>
      <c r="T708" s="26"/>
    </row>
    <row r="709" spans="1:20" ht="15.6" hidden="1">
      <c r="A709" s="22"/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4"/>
      <c r="Q709" s="23"/>
      <c r="R709" s="23"/>
      <c r="S709" s="25"/>
      <c r="T709" s="26"/>
    </row>
    <row r="710" spans="1:20" ht="15.6" hidden="1">
      <c r="A710" s="22"/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4"/>
      <c r="Q710" s="23"/>
      <c r="R710" s="23"/>
      <c r="S710" s="25"/>
      <c r="T710" s="26"/>
    </row>
    <row r="711" spans="1:20" ht="15.6" hidden="1">
      <c r="A711" s="22"/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4"/>
      <c r="Q711" s="23"/>
      <c r="R711" s="23"/>
      <c r="S711" s="25"/>
      <c r="T711" s="26"/>
    </row>
    <row r="712" spans="1:20" ht="15.6" hidden="1">
      <c r="A712" s="22"/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4"/>
      <c r="Q712" s="23"/>
      <c r="R712" s="23"/>
      <c r="S712" s="25"/>
      <c r="T712" s="26"/>
    </row>
    <row r="713" spans="1:20" ht="15.6" hidden="1">
      <c r="A713" s="22"/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4"/>
      <c r="Q713" s="23"/>
      <c r="R713" s="23"/>
      <c r="S713" s="25"/>
      <c r="T713" s="26"/>
    </row>
    <row r="714" spans="1:20" ht="15.6" hidden="1">
      <c r="A714" s="22"/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4"/>
      <c r="Q714" s="23"/>
      <c r="R714" s="23"/>
      <c r="S714" s="25"/>
      <c r="T714" s="26"/>
    </row>
    <row r="715" spans="1:20" ht="15.6" hidden="1">
      <c r="A715" s="22"/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4"/>
      <c r="Q715" s="23"/>
      <c r="R715" s="23"/>
      <c r="S715" s="25"/>
      <c r="T715" s="26"/>
    </row>
    <row r="716" spans="1:20" ht="15.6" hidden="1">
      <c r="A716" s="22"/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4"/>
      <c r="Q716" s="23"/>
      <c r="R716" s="23"/>
      <c r="S716" s="25"/>
      <c r="T716" s="26"/>
    </row>
    <row r="717" spans="1:20" ht="15.6" hidden="1">
      <c r="A717" s="22"/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4"/>
      <c r="Q717" s="23"/>
      <c r="R717" s="23"/>
      <c r="S717" s="25"/>
      <c r="T717" s="26"/>
    </row>
    <row r="718" spans="1:20" ht="15.6" hidden="1">
      <c r="A718" s="22"/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4"/>
      <c r="Q718" s="23"/>
      <c r="R718" s="23"/>
      <c r="S718" s="25"/>
      <c r="T718" s="26"/>
    </row>
    <row r="719" spans="1:20" ht="15.6" hidden="1">
      <c r="A719" s="22"/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4"/>
      <c r="Q719" s="23"/>
      <c r="R719" s="23"/>
      <c r="S719" s="25"/>
      <c r="T719" s="26"/>
    </row>
    <row r="720" spans="1:20" ht="15.6" hidden="1">
      <c r="A720" s="22"/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4"/>
      <c r="Q720" s="23"/>
      <c r="R720" s="23"/>
      <c r="S720" s="25"/>
      <c r="T720" s="26"/>
    </row>
    <row r="721" spans="1:20" ht="15.6" hidden="1">
      <c r="A721" s="22"/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4"/>
      <c r="Q721" s="23"/>
      <c r="R721" s="23"/>
      <c r="S721" s="25"/>
      <c r="T721" s="26"/>
    </row>
    <row r="722" spans="1:20" ht="15.6" hidden="1">
      <c r="A722" s="22"/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4"/>
      <c r="Q722" s="23"/>
      <c r="R722" s="23"/>
      <c r="S722" s="25"/>
      <c r="T722" s="26"/>
    </row>
    <row r="723" spans="1:20" ht="15.6" hidden="1">
      <c r="A723" s="22"/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4"/>
      <c r="Q723" s="23"/>
      <c r="R723" s="23"/>
      <c r="S723" s="25"/>
      <c r="T723" s="26"/>
    </row>
    <row r="724" spans="1:20" ht="15.6" hidden="1">
      <c r="A724" s="22"/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4"/>
      <c r="Q724" s="23"/>
      <c r="R724" s="23"/>
      <c r="S724" s="25"/>
      <c r="T724" s="26"/>
    </row>
    <row r="725" spans="1:20" ht="15.6" hidden="1">
      <c r="A725" s="22"/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4"/>
      <c r="Q725" s="23"/>
      <c r="R725" s="23"/>
      <c r="S725" s="25"/>
      <c r="T725" s="26"/>
    </row>
    <row r="726" spans="1:20" ht="15.6" hidden="1">
      <c r="A726" s="22"/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4"/>
      <c r="Q726" s="23"/>
      <c r="R726" s="23"/>
      <c r="S726" s="25"/>
      <c r="T726" s="26"/>
    </row>
    <row r="727" spans="1:20" ht="15.6" hidden="1">
      <c r="A727" s="22"/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4"/>
      <c r="Q727" s="23"/>
      <c r="R727" s="23"/>
      <c r="S727" s="25"/>
      <c r="T727" s="26"/>
    </row>
    <row r="728" spans="1:20" ht="15.6" hidden="1">
      <c r="A728" s="22"/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4"/>
      <c r="Q728" s="23"/>
      <c r="R728" s="23"/>
      <c r="S728" s="25"/>
      <c r="T728" s="26"/>
    </row>
    <row r="729" spans="1:20" ht="15.6" hidden="1">
      <c r="A729" s="22"/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4"/>
      <c r="Q729" s="23"/>
      <c r="R729" s="23"/>
      <c r="S729" s="25"/>
      <c r="T729" s="26"/>
    </row>
    <row r="730" spans="1:20" ht="15.6" hidden="1">
      <c r="A730" s="22"/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4"/>
      <c r="Q730" s="23"/>
      <c r="R730" s="23"/>
      <c r="S730" s="25"/>
      <c r="T730" s="26"/>
    </row>
    <row r="731" spans="1:20" ht="15.6" hidden="1">
      <c r="A731" s="22"/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4"/>
      <c r="Q731" s="23"/>
      <c r="R731" s="23"/>
      <c r="S731" s="25"/>
      <c r="T731" s="26"/>
    </row>
    <row r="732" spans="1:20" ht="15.6" hidden="1">
      <c r="A732" s="22"/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4"/>
      <c r="Q732" s="23"/>
      <c r="R732" s="23"/>
      <c r="S732" s="25"/>
      <c r="T732" s="26"/>
    </row>
    <row r="733" spans="1:20" ht="15.6" hidden="1">
      <c r="A733" s="22"/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4"/>
      <c r="Q733" s="23"/>
      <c r="R733" s="23"/>
      <c r="S733" s="25"/>
      <c r="T733" s="26"/>
    </row>
    <row r="734" spans="1:20" ht="15.6" hidden="1">
      <c r="A734" s="22"/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4"/>
      <c r="Q734" s="23"/>
      <c r="R734" s="23"/>
      <c r="S734" s="25"/>
      <c r="T734" s="26"/>
    </row>
    <row r="735" spans="1:20" ht="15.6" hidden="1">
      <c r="A735" s="22"/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4"/>
      <c r="Q735" s="23"/>
      <c r="R735" s="23"/>
      <c r="S735" s="25"/>
      <c r="T735" s="26"/>
    </row>
    <row r="736" spans="1:20" ht="15.6" hidden="1">
      <c r="A736" s="22"/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4"/>
      <c r="Q736" s="23"/>
      <c r="R736" s="23"/>
      <c r="S736" s="25"/>
      <c r="T736" s="26"/>
    </row>
    <row r="737" spans="1:20" ht="15.6" hidden="1">
      <c r="A737" s="22"/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4"/>
      <c r="Q737" s="23"/>
      <c r="R737" s="23"/>
      <c r="S737" s="25"/>
      <c r="T737" s="26"/>
    </row>
    <row r="738" spans="1:20" ht="15.6" hidden="1">
      <c r="A738" s="22"/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4"/>
      <c r="Q738" s="23"/>
      <c r="R738" s="23"/>
      <c r="S738" s="25"/>
      <c r="T738" s="26"/>
    </row>
    <row r="739" spans="1:20" ht="15.6" hidden="1">
      <c r="A739" s="22"/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4"/>
      <c r="Q739" s="23"/>
      <c r="R739" s="23"/>
      <c r="S739" s="25"/>
      <c r="T739" s="26"/>
    </row>
    <row r="740" spans="1:20" ht="15.6" hidden="1">
      <c r="A740" s="22"/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4"/>
      <c r="Q740" s="23"/>
      <c r="R740" s="23"/>
      <c r="S740" s="25"/>
      <c r="T740" s="26"/>
    </row>
    <row r="741" spans="1:20" ht="15.6" hidden="1">
      <c r="A741" s="22"/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4"/>
      <c r="Q741" s="23"/>
      <c r="R741" s="23"/>
      <c r="S741" s="25"/>
      <c r="T741" s="26"/>
    </row>
    <row r="742" spans="1:20" ht="15.6" hidden="1">
      <c r="A742" s="22"/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4"/>
      <c r="Q742" s="23"/>
      <c r="R742" s="23"/>
      <c r="S742" s="25"/>
      <c r="T742" s="26"/>
    </row>
    <row r="743" spans="1:20" ht="15.6" hidden="1">
      <c r="A743" s="22"/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4"/>
      <c r="Q743" s="23"/>
      <c r="R743" s="23"/>
      <c r="S743" s="25"/>
      <c r="T743" s="26"/>
    </row>
    <row r="744" spans="1:20" ht="15.6" hidden="1">
      <c r="A744" s="22"/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4"/>
      <c r="Q744" s="23"/>
      <c r="R744" s="23"/>
      <c r="S744" s="25"/>
      <c r="T744" s="26"/>
    </row>
    <row r="745" spans="1:20" ht="15.6" hidden="1">
      <c r="A745" s="22"/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4"/>
      <c r="Q745" s="23"/>
      <c r="R745" s="23"/>
      <c r="S745" s="25"/>
      <c r="T745" s="26"/>
    </row>
    <row r="746" spans="1:20" ht="15.6" hidden="1">
      <c r="A746" s="22"/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4"/>
      <c r="Q746" s="23"/>
      <c r="R746" s="23"/>
      <c r="S746" s="25"/>
      <c r="T746" s="26"/>
    </row>
    <row r="747" spans="1:20" ht="15.6" hidden="1">
      <c r="A747" s="22"/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4"/>
      <c r="Q747" s="23"/>
      <c r="R747" s="23"/>
      <c r="S747" s="25"/>
      <c r="T747" s="26"/>
    </row>
    <row r="748" spans="1:20" ht="15.6" hidden="1">
      <c r="A748" s="22"/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4"/>
      <c r="Q748" s="23"/>
      <c r="R748" s="23"/>
      <c r="S748" s="25"/>
      <c r="T748" s="26"/>
    </row>
    <row r="749" spans="1:20" ht="15.6" hidden="1">
      <c r="A749" s="22"/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4"/>
      <c r="Q749" s="23"/>
      <c r="R749" s="23"/>
      <c r="S749" s="25"/>
      <c r="T749" s="26"/>
    </row>
    <row r="750" spans="1:20" ht="15.6" hidden="1">
      <c r="A750" s="22"/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4"/>
      <c r="Q750" s="23"/>
      <c r="R750" s="23"/>
      <c r="S750" s="25"/>
      <c r="T750" s="26"/>
    </row>
    <row r="751" spans="1:20" ht="15.6" hidden="1">
      <c r="A751" s="22"/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4"/>
      <c r="Q751" s="23"/>
      <c r="R751" s="23"/>
      <c r="S751" s="25"/>
      <c r="T751" s="26"/>
    </row>
    <row r="752" spans="1:20" ht="15.6" hidden="1">
      <c r="A752" s="22"/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4"/>
      <c r="Q752" s="23"/>
      <c r="R752" s="23"/>
      <c r="S752" s="25"/>
      <c r="T752" s="26"/>
    </row>
  </sheetData>
  <autoFilter ref="B1:AV125" xr:uid="{00000000-0009-0000-0000-000000000000}"/>
  <dataValidations count="1">
    <dataValidation type="list" allowBlank="1" showErrorMessage="1" sqref="S2:S84 S86:S125" xr:uid="{00000000-0002-0000-0000-000000000000}">
      <formula1>"Down,Up"</formula1>
    </dataValidation>
  </dataValidation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L1000"/>
  <sheetViews>
    <sheetView workbookViewId="0"/>
  </sheetViews>
  <sheetFormatPr defaultColWidth="12.6640625" defaultRowHeight="15.75" customHeight="1"/>
  <cols>
    <col min="2" max="2" width="12.21875" style="36" customWidth="1"/>
    <col min="3" max="3" width="28.21875" style="36" customWidth="1"/>
    <col min="4" max="4" width="10.33203125" style="36" customWidth="1"/>
    <col min="5" max="5" width="87.88671875" style="36" customWidth="1"/>
    <col min="6" max="6" width="7.88671875" style="36" customWidth="1"/>
    <col min="7" max="7" width="36.77734375" style="36" customWidth="1"/>
    <col min="8" max="8" width="18.6640625" style="36" customWidth="1"/>
    <col min="9" max="9" width="12.6640625" style="36" hidden="1" customWidth="1"/>
    <col min="10" max="10" width="17" style="36" customWidth="1"/>
    <col min="11" max="11" width="15" style="36" customWidth="1"/>
    <col min="12" max="12" width="24" style="36" customWidth="1"/>
  </cols>
  <sheetData>
    <row r="1" spans="1:12">
      <c r="A1" s="1" t="s">
        <v>1</v>
      </c>
      <c r="B1" s="1" t="s">
        <v>2</v>
      </c>
      <c r="C1" s="1" t="s">
        <v>3</v>
      </c>
      <c r="D1" s="1" t="s">
        <v>9</v>
      </c>
      <c r="E1" s="1" t="s">
        <v>15</v>
      </c>
      <c r="F1" s="27" t="s">
        <v>284</v>
      </c>
      <c r="G1" s="28" t="s">
        <v>285</v>
      </c>
      <c r="H1" s="27" t="s">
        <v>286</v>
      </c>
      <c r="J1" s="35" t="s">
        <v>287</v>
      </c>
      <c r="K1" s="35" t="s">
        <v>288</v>
      </c>
      <c r="L1" s="35" t="s">
        <v>289</v>
      </c>
    </row>
    <row r="2" spans="1:12">
      <c r="A2" s="4">
        <v>311490003398</v>
      </c>
      <c r="B2" s="4">
        <v>311202004727</v>
      </c>
      <c r="C2" s="4" t="s">
        <v>48</v>
      </c>
      <c r="D2" s="4" t="s">
        <v>54</v>
      </c>
      <c r="E2" s="4" t="s">
        <v>56</v>
      </c>
      <c r="F2" s="29">
        <v>500</v>
      </c>
      <c r="G2" s="30" t="s">
        <v>290</v>
      </c>
      <c r="H2" s="30"/>
      <c r="J2" s="37">
        <f>SUMIFS('Rincian RAB'!$J$2:$J$254,'Rincian RAB'!$B$2:$B$254,$B2)</f>
        <v>0</v>
      </c>
      <c r="K2" s="38" t="str">
        <f t="shared" ref="K2:K33" si="0">IF(J2=0,"",H2-J2)</f>
        <v/>
      </c>
    </row>
    <row r="3" spans="1:12">
      <c r="A3" s="4">
        <v>311490003398</v>
      </c>
      <c r="B3" s="4">
        <v>311202004728</v>
      </c>
      <c r="C3" s="4" t="s">
        <v>48</v>
      </c>
      <c r="D3" s="4" t="s">
        <v>54</v>
      </c>
      <c r="E3" s="4" t="s">
        <v>75</v>
      </c>
      <c r="F3" s="29">
        <v>300</v>
      </c>
      <c r="G3" s="30" t="s">
        <v>291</v>
      </c>
      <c r="H3" s="30"/>
      <c r="J3" s="37">
        <f>SUMIFS('Rincian RAB'!$J$2:$J$254,'Rincian RAB'!$B$2:$B$254,$B3)</f>
        <v>0</v>
      </c>
      <c r="K3" s="38" t="str">
        <f t="shared" si="0"/>
        <v/>
      </c>
    </row>
    <row r="4" spans="1:12">
      <c r="A4" s="4">
        <v>311490003398</v>
      </c>
      <c r="B4" s="4">
        <v>311202004731</v>
      </c>
      <c r="C4" s="4" t="s">
        <v>48</v>
      </c>
      <c r="D4" s="4" t="s">
        <v>54</v>
      </c>
      <c r="E4" s="4" t="s">
        <v>80</v>
      </c>
      <c r="F4" s="29">
        <v>100</v>
      </c>
      <c r="G4" s="30" t="s">
        <v>292</v>
      </c>
      <c r="H4" s="31">
        <v>10992508</v>
      </c>
      <c r="I4" s="32">
        <v>4600253989</v>
      </c>
      <c r="J4" s="37">
        <f>SUMIFS('Rincian RAB'!$J$2:$J$254,'Rincian RAB'!$B$2:$B$254,$B4)</f>
        <v>10992508</v>
      </c>
      <c r="K4" s="38">
        <f t="shared" si="0"/>
        <v>0</v>
      </c>
    </row>
    <row r="5" spans="1:12">
      <c r="A5" s="4">
        <v>311490003398</v>
      </c>
      <c r="B5" s="4">
        <v>311202004730</v>
      </c>
      <c r="C5" s="4" t="s">
        <v>48</v>
      </c>
      <c r="D5" s="4" t="s">
        <v>54</v>
      </c>
      <c r="E5" s="4" t="s">
        <v>83</v>
      </c>
      <c r="F5" s="29">
        <v>300</v>
      </c>
      <c r="G5" s="30" t="s">
        <v>293</v>
      </c>
      <c r="H5" s="31">
        <v>8885928</v>
      </c>
      <c r="I5" s="32">
        <v>4600065796</v>
      </c>
      <c r="J5" s="37">
        <f>SUMIFS('Rincian RAB'!$J$2:$J$254,'Rincian RAB'!$B$2:$B$254,$B5)</f>
        <v>0</v>
      </c>
      <c r="K5" s="38" t="str">
        <f t="shared" si="0"/>
        <v/>
      </c>
    </row>
    <row r="6" spans="1:12">
      <c r="A6" s="4">
        <v>311490003398</v>
      </c>
      <c r="B6" s="4">
        <v>311202004732</v>
      </c>
      <c r="C6" s="4" t="s">
        <v>48</v>
      </c>
      <c r="D6" s="4" t="s">
        <v>54</v>
      </c>
      <c r="E6" s="4" t="s">
        <v>86</v>
      </c>
      <c r="F6" s="29">
        <v>200</v>
      </c>
      <c r="G6" s="30" t="s">
        <v>294</v>
      </c>
      <c r="H6" s="30"/>
      <c r="J6" s="37">
        <f>SUMIFS('Rincian RAB'!$J$2:$J$254,'Rincian RAB'!$B$2:$B$254,$B6)</f>
        <v>0</v>
      </c>
      <c r="K6" s="38" t="str">
        <f t="shared" si="0"/>
        <v/>
      </c>
    </row>
    <row r="7" spans="1:12">
      <c r="A7" s="4">
        <v>311490003398</v>
      </c>
      <c r="B7" s="4">
        <v>311202004682</v>
      </c>
      <c r="C7" s="4" t="s">
        <v>48</v>
      </c>
      <c r="D7" s="4" t="s">
        <v>54</v>
      </c>
      <c r="E7" s="4" t="s">
        <v>88</v>
      </c>
      <c r="F7" s="29">
        <v>100</v>
      </c>
      <c r="G7" s="30" t="s">
        <v>295</v>
      </c>
      <c r="H7" s="30"/>
      <c r="J7" s="37">
        <f>SUMIFS('Rincian RAB'!$J$2:$J$254,'Rincian RAB'!$B$2:$B$254,$B7)</f>
        <v>0</v>
      </c>
      <c r="K7" s="38" t="str">
        <f t="shared" si="0"/>
        <v/>
      </c>
    </row>
    <row r="8" spans="1:12">
      <c r="A8" s="4">
        <v>311490003398</v>
      </c>
      <c r="B8" s="4">
        <v>311202004733</v>
      </c>
      <c r="C8" s="4" t="s">
        <v>48</v>
      </c>
      <c r="D8" s="4" t="s">
        <v>54</v>
      </c>
      <c r="E8" s="4" t="s">
        <v>90</v>
      </c>
      <c r="F8" s="29">
        <v>200</v>
      </c>
      <c r="G8" s="30" t="s">
        <v>296</v>
      </c>
      <c r="H8" s="30"/>
      <c r="J8" s="37">
        <f>SUMIFS('Rincian RAB'!$J$2:$J$254,'Rincian RAB'!$B$2:$B$254,$B8)</f>
        <v>0</v>
      </c>
      <c r="K8" s="38" t="str">
        <f t="shared" si="0"/>
        <v/>
      </c>
    </row>
    <row r="9" spans="1:12">
      <c r="A9" s="4">
        <v>311490003398</v>
      </c>
      <c r="B9" s="4">
        <v>311202004734</v>
      </c>
      <c r="C9" s="4" t="s">
        <v>48</v>
      </c>
      <c r="D9" s="4" t="s">
        <v>54</v>
      </c>
      <c r="E9" s="4" t="s">
        <v>93</v>
      </c>
      <c r="F9" s="29">
        <v>300</v>
      </c>
      <c r="G9" s="30" t="s">
        <v>297</v>
      </c>
      <c r="H9" s="31">
        <v>9313769</v>
      </c>
      <c r="I9" s="32">
        <v>4600066257</v>
      </c>
      <c r="J9" s="37">
        <f>SUMIFS('Rincian RAB'!$J$2:$J$254,'Rincian RAB'!$B$2:$B$254,$B9)</f>
        <v>9313769</v>
      </c>
      <c r="K9" s="38">
        <f t="shared" si="0"/>
        <v>0</v>
      </c>
    </row>
    <row r="10" spans="1:12">
      <c r="A10" s="4">
        <v>311490003398</v>
      </c>
      <c r="B10" s="4">
        <v>311202004729</v>
      </c>
      <c r="C10" s="4" t="s">
        <v>48</v>
      </c>
      <c r="D10" s="4" t="s">
        <v>54</v>
      </c>
      <c r="E10" s="4" t="s">
        <v>96</v>
      </c>
      <c r="F10" s="29">
        <v>2300</v>
      </c>
      <c r="G10" s="30" t="s">
        <v>298</v>
      </c>
      <c r="H10" s="30"/>
      <c r="J10" s="37">
        <f>SUMIFS('Rincian RAB'!$J$2:$J$254,'Rincian RAB'!$B$2:$B$254,$B10)</f>
        <v>0</v>
      </c>
      <c r="K10" s="38" t="str">
        <f t="shared" si="0"/>
        <v/>
      </c>
    </row>
    <row r="11" spans="1:12">
      <c r="A11" s="4">
        <v>311490003398</v>
      </c>
      <c r="B11" s="4">
        <v>311202004684</v>
      </c>
      <c r="C11" s="4" t="s">
        <v>48</v>
      </c>
      <c r="D11" s="4" t="s">
        <v>54</v>
      </c>
      <c r="E11" s="4" t="s">
        <v>99</v>
      </c>
      <c r="F11" s="29">
        <v>500</v>
      </c>
      <c r="G11" s="30" t="s">
        <v>299</v>
      </c>
      <c r="H11" s="30"/>
      <c r="J11" s="37">
        <f>SUMIFS('Rincian RAB'!$J$2:$J$254,'Rincian RAB'!$B$2:$B$254,$B11)</f>
        <v>0</v>
      </c>
      <c r="K11" s="38" t="str">
        <f t="shared" si="0"/>
        <v/>
      </c>
    </row>
    <row r="12" spans="1:12">
      <c r="A12" s="4">
        <v>311490003398</v>
      </c>
      <c r="B12" s="4">
        <v>311202004685</v>
      </c>
      <c r="C12" s="4" t="s">
        <v>48</v>
      </c>
      <c r="D12" s="4" t="s">
        <v>54</v>
      </c>
      <c r="E12" s="4" t="s">
        <v>101</v>
      </c>
      <c r="F12" s="29">
        <v>250</v>
      </c>
      <c r="G12" s="30" t="s">
        <v>300</v>
      </c>
      <c r="H12" s="30"/>
      <c r="J12" s="37">
        <f>SUMIFS('Rincian RAB'!$J$2:$J$254,'Rincian RAB'!$B$2:$B$254,$B12)</f>
        <v>0</v>
      </c>
      <c r="K12" s="38" t="str">
        <f t="shared" si="0"/>
        <v/>
      </c>
    </row>
    <row r="13" spans="1:12">
      <c r="A13" s="4">
        <v>311490003398</v>
      </c>
      <c r="B13" s="4">
        <v>311202004686</v>
      </c>
      <c r="C13" s="4" t="s">
        <v>48</v>
      </c>
      <c r="D13" s="4" t="s">
        <v>54</v>
      </c>
      <c r="E13" s="4" t="s">
        <v>104</v>
      </c>
      <c r="F13" s="29">
        <v>700</v>
      </c>
      <c r="G13" s="30" t="s">
        <v>301</v>
      </c>
      <c r="H13" s="30"/>
      <c r="J13" s="37">
        <f>SUMIFS('Rincian RAB'!$J$2:$J$254,'Rincian RAB'!$B$2:$B$254,$B13)</f>
        <v>0</v>
      </c>
      <c r="K13" s="38" t="str">
        <f t="shared" si="0"/>
        <v/>
      </c>
    </row>
    <row r="14" spans="1:12">
      <c r="A14" s="4">
        <v>311490003398</v>
      </c>
      <c r="B14" s="4">
        <v>311202004687</v>
      </c>
      <c r="C14" s="4" t="s">
        <v>48</v>
      </c>
      <c r="D14" s="4" t="s">
        <v>54</v>
      </c>
      <c r="E14" s="4" t="s">
        <v>111</v>
      </c>
      <c r="F14" s="29">
        <v>700</v>
      </c>
      <c r="G14" s="30" t="s">
        <v>302</v>
      </c>
      <c r="H14" s="30"/>
      <c r="J14" s="37">
        <f>SUMIFS('Rincian RAB'!$J$2:$J$254,'Rincian RAB'!$B$2:$B$254,$B14)</f>
        <v>0</v>
      </c>
      <c r="K14" s="38" t="str">
        <f t="shared" si="0"/>
        <v/>
      </c>
    </row>
    <row r="15" spans="1:12">
      <c r="A15" s="4">
        <v>311490003398</v>
      </c>
      <c r="B15" s="4">
        <v>311202004688</v>
      </c>
      <c r="C15" s="4" t="s">
        <v>48</v>
      </c>
      <c r="D15" s="4" t="s">
        <v>54</v>
      </c>
      <c r="E15" s="4" t="s">
        <v>113</v>
      </c>
      <c r="F15" s="29">
        <v>1100</v>
      </c>
      <c r="G15" s="30" t="s">
        <v>303</v>
      </c>
      <c r="H15" s="31">
        <v>9923296</v>
      </c>
      <c r="I15" s="32">
        <v>4600068576</v>
      </c>
      <c r="J15" s="37">
        <f>SUMIFS('Rincian RAB'!$J$2:$J$254,'Rincian RAB'!$B$2:$B$254,$B15)</f>
        <v>21291626</v>
      </c>
      <c r="K15" s="38">
        <f t="shared" si="0"/>
        <v>-11368330</v>
      </c>
    </row>
    <row r="16" spans="1:12">
      <c r="A16" s="4">
        <v>311490003398</v>
      </c>
      <c r="B16" s="4">
        <v>311202004689</v>
      </c>
      <c r="C16" s="4" t="s">
        <v>48</v>
      </c>
      <c r="D16" s="4" t="s">
        <v>54</v>
      </c>
      <c r="E16" s="4" t="s">
        <v>115</v>
      </c>
      <c r="F16" s="29">
        <v>150</v>
      </c>
      <c r="G16" s="30" t="s">
        <v>304</v>
      </c>
      <c r="H16" s="31">
        <v>9755947</v>
      </c>
      <c r="I16" s="32">
        <v>4600068992</v>
      </c>
      <c r="J16" s="37">
        <f>SUMIFS('Rincian RAB'!$J$2:$J$254,'Rincian RAB'!$B$2:$B$254,$B16)</f>
        <v>9778725</v>
      </c>
      <c r="K16" s="38">
        <f t="shared" si="0"/>
        <v>-22778</v>
      </c>
    </row>
    <row r="17" spans="1:12">
      <c r="A17" s="4">
        <v>311490003398</v>
      </c>
      <c r="B17" s="4">
        <v>311202004723</v>
      </c>
      <c r="C17" s="4" t="s">
        <v>48</v>
      </c>
      <c r="D17" s="4" t="s">
        <v>54</v>
      </c>
      <c r="E17" s="4" t="s">
        <v>117</v>
      </c>
      <c r="F17" s="29">
        <v>3200</v>
      </c>
      <c r="G17" s="30" t="s">
        <v>305</v>
      </c>
      <c r="H17" s="30"/>
      <c r="J17" s="37">
        <f>SUMIFS('Rincian RAB'!$J$2:$J$254,'Rincian RAB'!$B$2:$B$254,$B17)</f>
        <v>0</v>
      </c>
      <c r="K17" s="38" t="str">
        <f t="shared" si="0"/>
        <v/>
      </c>
    </row>
    <row r="18" spans="1:12">
      <c r="A18" s="4">
        <v>311490003398</v>
      </c>
      <c r="B18" s="4">
        <v>311202004690</v>
      </c>
      <c r="C18" s="4" t="s">
        <v>48</v>
      </c>
      <c r="D18" s="4" t="s">
        <v>54</v>
      </c>
      <c r="E18" s="4" t="s">
        <v>119</v>
      </c>
      <c r="F18" s="29">
        <v>500</v>
      </c>
      <c r="G18" s="30" t="s">
        <v>306</v>
      </c>
      <c r="H18" s="30"/>
      <c r="J18" s="37">
        <f>SUMIFS('Rincian RAB'!$J$2:$J$254,'Rincian RAB'!$B$2:$B$254,$B18)</f>
        <v>0</v>
      </c>
      <c r="K18" s="38" t="str">
        <f t="shared" si="0"/>
        <v/>
      </c>
    </row>
    <row r="19" spans="1:12">
      <c r="A19" s="4">
        <v>311490003398</v>
      </c>
      <c r="B19" s="4">
        <v>311202004691</v>
      </c>
      <c r="C19" s="4" t="s">
        <v>48</v>
      </c>
      <c r="D19" s="4" t="s">
        <v>54</v>
      </c>
      <c r="E19" s="4" t="s">
        <v>121</v>
      </c>
      <c r="F19" s="29">
        <v>200</v>
      </c>
      <c r="G19" s="30" t="s">
        <v>307</v>
      </c>
      <c r="H19" s="30"/>
      <c r="J19" s="37">
        <f>SUMIFS('Rincian RAB'!$J$2:$J$254,'Rincian RAB'!$B$2:$B$254,$B19)</f>
        <v>0</v>
      </c>
      <c r="K19" s="38" t="str">
        <f t="shared" si="0"/>
        <v/>
      </c>
    </row>
    <row r="20" spans="1:12">
      <c r="A20" s="4">
        <v>311490003398</v>
      </c>
      <c r="B20" s="4">
        <v>311202004721</v>
      </c>
      <c r="C20" s="4" t="s">
        <v>48</v>
      </c>
      <c r="D20" s="4" t="s">
        <v>54</v>
      </c>
      <c r="E20" s="4" t="s">
        <v>123</v>
      </c>
      <c r="F20" s="29">
        <v>500</v>
      </c>
      <c r="G20" s="30" t="s">
        <v>308</v>
      </c>
      <c r="H20" s="30"/>
      <c r="J20" s="37">
        <f>SUMIFS('Rincian RAB'!$J$2:$J$254,'Rincian RAB'!$B$2:$B$254,$B20)</f>
        <v>0</v>
      </c>
      <c r="K20" s="38" t="str">
        <f t="shared" si="0"/>
        <v/>
      </c>
    </row>
    <row r="21" spans="1:12">
      <c r="A21" s="4">
        <v>311490003398</v>
      </c>
      <c r="B21" s="4">
        <v>311202004722</v>
      </c>
      <c r="C21" s="4" t="s">
        <v>48</v>
      </c>
      <c r="D21" s="4" t="s">
        <v>54</v>
      </c>
      <c r="E21" s="4" t="s">
        <v>125</v>
      </c>
      <c r="F21" s="29">
        <v>900</v>
      </c>
      <c r="G21" s="30" t="s">
        <v>309</v>
      </c>
      <c r="H21" s="30"/>
      <c r="J21" s="37">
        <f>SUMIFS('Rincian RAB'!$J$2:$J$254,'Rincian RAB'!$B$2:$B$254,$B21)</f>
        <v>0</v>
      </c>
      <c r="K21" s="38" t="str">
        <f t="shared" si="0"/>
        <v/>
      </c>
    </row>
    <row r="22" spans="1:12">
      <c r="A22" s="4">
        <v>311490003398</v>
      </c>
      <c r="B22" s="4">
        <v>311202004719</v>
      </c>
      <c r="C22" s="4" t="s">
        <v>48</v>
      </c>
      <c r="D22" s="4" t="s">
        <v>54</v>
      </c>
      <c r="E22" s="4" t="s">
        <v>127</v>
      </c>
      <c r="F22" s="29">
        <v>3200</v>
      </c>
      <c r="G22" s="30" t="s">
        <v>310</v>
      </c>
      <c r="H22" s="30"/>
      <c r="J22" s="37">
        <f>SUMIFS('Rincian RAB'!$J$2:$J$254,'Rincian RAB'!$B$2:$B$254,$B22)</f>
        <v>0</v>
      </c>
      <c r="K22" s="38" t="str">
        <f t="shared" si="0"/>
        <v/>
      </c>
    </row>
    <row r="23" spans="1:12">
      <c r="A23" s="4">
        <v>311490003398</v>
      </c>
      <c r="B23" s="4">
        <v>311202004693</v>
      </c>
      <c r="C23" s="4" t="s">
        <v>48</v>
      </c>
      <c r="D23" s="4" t="s">
        <v>54</v>
      </c>
      <c r="E23" s="4" t="s">
        <v>129</v>
      </c>
      <c r="F23" s="29">
        <v>100</v>
      </c>
      <c r="G23" s="30" t="s">
        <v>311</v>
      </c>
      <c r="H23" s="31">
        <v>10058200</v>
      </c>
      <c r="I23" s="32">
        <v>4600091887</v>
      </c>
      <c r="J23" s="37">
        <f>SUMIFS('Rincian RAB'!$J$2:$J$254,'Rincian RAB'!$B$2:$B$254,$B23)</f>
        <v>9821188</v>
      </c>
      <c r="K23" s="38">
        <f t="shared" si="0"/>
        <v>237012</v>
      </c>
    </row>
    <row r="24" spans="1:12">
      <c r="A24" s="4">
        <v>311490003398</v>
      </c>
      <c r="B24" s="4">
        <v>311202004706</v>
      </c>
      <c r="C24" s="4" t="s">
        <v>48</v>
      </c>
      <c r="D24" s="4" t="s">
        <v>54</v>
      </c>
      <c r="E24" s="4" t="s">
        <v>131</v>
      </c>
      <c r="F24" s="29">
        <v>300</v>
      </c>
      <c r="G24" s="30" t="s">
        <v>312</v>
      </c>
      <c r="H24" s="30"/>
      <c r="J24" s="37">
        <f>SUMIFS('Rincian RAB'!$J$2:$J$254,'Rincian RAB'!$B$2:$B$254,$B24)</f>
        <v>0</v>
      </c>
      <c r="K24" s="38" t="str">
        <f t="shared" si="0"/>
        <v/>
      </c>
    </row>
    <row r="25" spans="1:12">
      <c r="A25" s="4">
        <v>311490003398</v>
      </c>
      <c r="B25" s="4">
        <v>311202004670</v>
      </c>
      <c r="C25" s="4" t="s">
        <v>48</v>
      </c>
      <c r="D25" s="4" t="s">
        <v>54</v>
      </c>
      <c r="E25" s="4" t="s">
        <v>183</v>
      </c>
      <c r="F25" s="29">
        <v>400</v>
      </c>
      <c r="G25" s="30" t="s">
        <v>313</v>
      </c>
      <c r="H25" s="31">
        <v>9053277</v>
      </c>
      <c r="J25" s="37">
        <f>SUMIFS('Rincian RAB'!$J$2:$J$254,'Rincian RAB'!$B$2:$B$254,$B25)</f>
        <v>0</v>
      </c>
      <c r="K25" s="38" t="str">
        <f t="shared" si="0"/>
        <v/>
      </c>
    </row>
    <row r="26" spans="1:12">
      <c r="A26" s="4">
        <v>311490003398</v>
      </c>
      <c r="B26" s="4">
        <v>311202004696</v>
      </c>
      <c r="C26" s="4" t="s">
        <v>48</v>
      </c>
      <c r="D26" s="4" t="s">
        <v>54</v>
      </c>
      <c r="E26" s="4" t="s">
        <v>187</v>
      </c>
      <c r="F26" s="29">
        <v>150</v>
      </c>
      <c r="G26" s="30" t="s">
        <v>314</v>
      </c>
      <c r="H26" s="31">
        <v>15240931</v>
      </c>
      <c r="I26" s="32">
        <v>4600071418</v>
      </c>
      <c r="J26" s="37">
        <f>SUMIFS('Rincian RAB'!$J$2:$J$254,'Rincian RAB'!$B$2:$B$254,$B26)</f>
        <v>13033706</v>
      </c>
      <c r="K26" s="38">
        <f t="shared" si="0"/>
        <v>2207225</v>
      </c>
    </row>
    <row r="27" spans="1:12">
      <c r="A27" s="4">
        <v>311490003398</v>
      </c>
      <c r="B27" s="4">
        <v>311202004671</v>
      </c>
      <c r="C27" s="4" t="s">
        <v>48</v>
      </c>
      <c r="D27" s="4" t="s">
        <v>54</v>
      </c>
      <c r="E27" s="4" t="s">
        <v>198</v>
      </c>
      <c r="F27" s="29">
        <v>200</v>
      </c>
      <c r="G27" s="30" t="s">
        <v>315</v>
      </c>
      <c r="H27" s="30"/>
      <c r="J27" s="37">
        <f>SUMIFS('Rincian RAB'!$J$2:$J$254,'Rincian RAB'!$B$2:$B$254,$B27)</f>
        <v>0</v>
      </c>
      <c r="K27" s="38" t="str">
        <f t="shared" si="0"/>
        <v/>
      </c>
    </row>
    <row r="28" spans="1:12">
      <c r="A28" s="4">
        <v>311490003398</v>
      </c>
      <c r="B28" s="4">
        <v>311202004672</v>
      </c>
      <c r="C28" s="4" t="s">
        <v>48</v>
      </c>
      <c r="D28" s="4" t="s">
        <v>54</v>
      </c>
      <c r="E28" s="4" t="s">
        <v>200</v>
      </c>
      <c r="F28" s="29">
        <v>400</v>
      </c>
      <c r="G28" s="30" t="s">
        <v>316</v>
      </c>
      <c r="H28" s="31">
        <f>10238479+17650829</f>
        <v>27889308</v>
      </c>
      <c r="I28" s="32" t="s">
        <v>317</v>
      </c>
      <c r="J28" s="37">
        <f>SUMIFS('Rincian RAB'!$J$2:$J$254,'Rincian RAB'!$B$2:$B$254,$B28)</f>
        <v>28571117</v>
      </c>
      <c r="K28" s="38">
        <f t="shared" si="0"/>
        <v>-681809</v>
      </c>
    </row>
    <row r="29" spans="1:12">
      <c r="A29" s="4">
        <v>311490003398</v>
      </c>
      <c r="B29" s="4">
        <v>311202004673</v>
      </c>
      <c r="C29" s="4" t="s">
        <v>48</v>
      </c>
      <c r="D29" s="4" t="s">
        <v>54</v>
      </c>
      <c r="E29" s="4" t="s">
        <v>201</v>
      </c>
      <c r="F29" s="29">
        <v>600</v>
      </c>
      <c r="G29" s="30" t="s">
        <v>318</v>
      </c>
      <c r="H29" s="31">
        <f>7211642+12411562</f>
        <v>19623204</v>
      </c>
      <c r="I29" s="32">
        <v>4600115590</v>
      </c>
      <c r="J29" s="37">
        <f>SUMIFS('Rincian RAB'!$J$2:$J$254,'Rincian RAB'!$B$2:$B$254,$B29)</f>
        <v>19623204</v>
      </c>
      <c r="K29" s="38">
        <f t="shared" si="0"/>
        <v>0</v>
      </c>
      <c r="L29" s="32" t="s">
        <v>319</v>
      </c>
    </row>
    <row r="30" spans="1:12">
      <c r="A30" s="4">
        <v>311490003398</v>
      </c>
      <c r="B30" s="4">
        <v>311202004674</v>
      </c>
      <c r="C30" s="4" t="s">
        <v>48</v>
      </c>
      <c r="D30" s="4" t="s">
        <v>54</v>
      </c>
      <c r="E30" s="4" t="s">
        <v>203</v>
      </c>
      <c r="F30" s="29">
        <v>350</v>
      </c>
      <c r="G30" s="30" t="s">
        <v>320</v>
      </c>
      <c r="H30" s="31">
        <v>52126437</v>
      </c>
      <c r="I30" s="32">
        <v>4600113286</v>
      </c>
      <c r="J30" s="37">
        <f>SUMIFS('Rincian RAB'!$J$2:$J$254,'Rincian RAB'!$B$2:$B$254,$B30)</f>
        <v>52126437</v>
      </c>
      <c r="K30" s="38">
        <f t="shared" si="0"/>
        <v>0</v>
      </c>
    </row>
    <row r="31" spans="1:12">
      <c r="A31" s="4">
        <v>311490003398</v>
      </c>
      <c r="B31" s="4">
        <v>311202004675</v>
      </c>
      <c r="C31" s="4" t="s">
        <v>48</v>
      </c>
      <c r="D31" s="4" t="s">
        <v>54</v>
      </c>
      <c r="E31" s="4" t="s">
        <v>206</v>
      </c>
      <c r="F31" s="29">
        <v>200</v>
      </c>
      <c r="G31" s="30" t="s">
        <v>321</v>
      </c>
      <c r="H31" s="30"/>
      <c r="J31" s="37">
        <f>SUMIFS('Rincian RAB'!$J$2:$J$254,'Rincian RAB'!$B$2:$B$254,$B31)</f>
        <v>0</v>
      </c>
      <c r="K31" s="38" t="str">
        <f t="shared" si="0"/>
        <v/>
      </c>
    </row>
    <row r="32" spans="1:12">
      <c r="A32" s="4">
        <v>311490003398</v>
      </c>
      <c r="B32" s="4">
        <v>311202004676</v>
      </c>
      <c r="C32" s="4" t="s">
        <v>48</v>
      </c>
      <c r="D32" s="4" t="s">
        <v>54</v>
      </c>
      <c r="E32" s="4" t="s">
        <v>208</v>
      </c>
      <c r="F32" s="29">
        <v>350</v>
      </c>
      <c r="G32" s="30" t="s">
        <v>322</v>
      </c>
      <c r="H32" s="31">
        <v>16286258</v>
      </c>
      <c r="I32" s="32">
        <v>4600109739</v>
      </c>
      <c r="J32" s="37">
        <f>SUMIFS('Rincian RAB'!$J$2:$J$254,'Rincian RAB'!$B$2:$B$254,$B32)</f>
        <v>16286258</v>
      </c>
      <c r="K32" s="38">
        <f t="shared" si="0"/>
        <v>0</v>
      </c>
    </row>
    <row r="33" spans="1:12">
      <c r="A33" s="4">
        <v>311490003398</v>
      </c>
      <c r="B33" s="4">
        <v>311202004677</v>
      </c>
      <c r="C33" s="4" t="s">
        <v>48</v>
      </c>
      <c r="D33" s="4" t="s">
        <v>54</v>
      </c>
      <c r="E33" s="4" t="s">
        <v>209</v>
      </c>
      <c r="F33" s="29">
        <v>450</v>
      </c>
      <c r="G33" s="30" t="s">
        <v>323</v>
      </c>
      <c r="H33" s="31">
        <v>8664926</v>
      </c>
      <c r="I33" s="32">
        <v>4600253924</v>
      </c>
      <c r="J33" s="37">
        <f>SUMIFS('Rincian RAB'!$J$2:$J$254,'Rincian RAB'!$B$2:$B$254,$B33)</f>
        <v>8664926</v>
      </c>
      <c r="K33" s="38">
        <f t="shared" si="0"/>
        <v>0</v>
      </c>
    </row>
    <row r="34" spans="1:12">
      <c r="A34" s="4">
        <v>311490003398</v>
      </c>
      <c r="B34" s="4">
        <v>311202004678</v>
      </c>
      <c r="C34" s="4" t="s">
        <v>48</v>
      </c>
      <c r="D34" s="4" t="s">
        <v>54</v>
      </c>
      <c r="E34" s="4" t="s">
        <v>211</v>
      </c>
      <c r="F34" s="29">
        <v>500</v>
      </c>
      <c r="G34" s="30" t="s">
        <v>324</v>
      </c>
      <c r="H34" s="30"/>
      <c r="J34" s="37">
        <f>SUMIFS('Rincian RAB'!$J$2:$J$254,'Rincian RAB'!$B$2:$B$254,$B34)</f>
        <v>0</v>
      </c>
      <c r="K34" s="38" t="str">
        <f t="shared" ref="K34:K65" si="1">IF(J34=0,"",H34-J34)</f>
        <v/>
      </c>
    </row>
    <row r="35" spans="1:12">
      <c r="A35" s="4">
        <v>311490003398</v>
      </c>
      <c r="B35" s="4">
        <v>311202004679</v>
      </c>
      <c r="C35" s="4" t="s">
        <v>48</v>
      </c>
      <c r="D35" s="4" t="s">
        <v>54</v>
      </c>
      <c r="E35" s="4" t="s">
        <v>213</v>
      </c>
      <c r="F35" s="29">
        <v>300</v>
      </c>
      <c r="G35" s="30" t="s">
        <v>325</v>
      </c>
      <c r="H35" s="30"/>
      <c r="J35" s="37">
        <f>SUMIFS('Rincian RAB'!$J$2:$J$254,'Rincian RAB'!$B$2:$B$254,$B35)</f>
        <v>0</v>
      </c>
      <c r="K35" s="38" t="str">
        <f t="shared" si="1"/>
        <v/>
      </c>
    </row>
    <row r="36" spans="1:12">
      <c r="A36" s="4">
        <v>311490003398</v>
      </c>
      <c r="B36" s="4">
        <v>311202004680</v>
      </c>
      <c r="C36" s="4" t="s">
        <v>48</v>
      </c>
      <c r="D36" s="4" t="s">
        <v>54</v>
      </c>
      <c r="E36" s="4" t="s">
        <v>214</v>
      </c>
      <c r="F36" s="29">
        <v>150</v>
      </c>
      <c r="G36" s="30" t="s">
        <v>326</v>
      </c>
      <c r="H36" s="30"/>
      <c r="J36" s="37">
        <f>SUMIFS('Rincian RAB'!$J$2:$J$254,'Rincian RAB'!$B$2:$B$254,$B36)</f>
        <v>0</v>
      </c>
      <c r="K36" s="38" t="str">
        <f t="shared" si="1"/>
        <v/>
      </c>
    </row>
    <row r="37" spans="1:12">
      <c r="A37" s="4">
        <v>311490003398</v>
      </c>
      <c r="B37" s="4">
        <v>311202004681</v>
      </c>
      <c r="C37" s="4" t="s">
        <v>48</v>
      </c>
      <c r="D37" s="4" t="s">
        <v>54</v>
      </c>
      <c r="E37" s="4" t="s">
        <v>216</v>
      </c>
      <c r="F37" s="29">
        <v>300</v>
      </c>
      <c r="G37" s="30" t="s">
        <v>327</v>
      </c>
      <c r="H37" s="31">
        <f>10397685+21065705</f>
        <v>31463390</v>
      </c>
      <c r="I37" s="32" t="s">
        <v>328</v>
      </c>
      <c r="J37" s="37">
        <f>SUMIFS('Rincian RAB'!$J$2:$J$254,'Rincian RAB'!$B$2:$B$254,$B37)</f>
        <v>0</v>
      </c>
      <c r="K37" s="38" t="str">
        <f t="shared" si="1"/>
        <v/>
      </c>
      <c r="L37" s="32" t="s">
        <v>329</v>
      </c>
    </row>
    <row r="38" spans="1:12">
      <c r="A38" s="4">
        <v>311490003398</v>
      </c>
      <c r="B38" s="4">
        <v>311202004683</v>
      </c>
      <c r="C38" s="4" t="s">
        <v>48</v>
      </c>
      <c r="D38" s="4" t="s">
        <v>54</v>
      </c>
      <c r="E38" s="4" t="s">
        <v>219</v>
      </c>
      <c r="F38" s="29">
        <v>100</v>
      </c>
      <c r="G38" s="30" t="s">
        <v>330</v>
      </c>
      <c r="H38" s="30"/>
      <c r="J38" s="37">
        <f>SUMIFS('Rincian RAB'!$J$2:$J$254,'Rincian RAB'!$B$2:$B$254,$B38)</f>
        <v>0</v>
      </c>
      <c r="K38" s="38" t="str">
        <f t="shared" si="1"/>
        <v/>
      </c>
    </row>
    <row r="39" spans="1:12">
      <c r="A39" s="4">
        <v>311490003398</v>
      </c>
      <c r="B39" s="4">
        <v>311202004692</v>
      </c>
      <c r="C39" s="4" t="s">
        <v>48</v>
      </c>
      <c r="D39" s="4" t="s">
        <v>54</v>
      </c>
      <c r="E39" s="4" t="s">
        <v>233</v>
      </c>
      <c r="F39" s="29">
        <v>300</v>
      </c>
      <c r="G39" s="30" t="s">
        <v>331</v>
      </c>
      <c r="H39" s="30"/>
      <c r="J39" s="37">
        <f>SUMIFS('Rincian RAB'!$J$2:$J$254,'Rincian RAB'!$B$2:$B$254,$B39)</f>
        <v>0</v>
      </c>
      <c r="K39" s="38" t="str">
        <f t="shared" si="1"/>
        <v/>
      </c>
    </row>
    <row r="40" spans="1:12">
      <c r="A40" s="4">
        <v>311490003398</v>
      </c>
      <c r="B40" s="4">
        <v>311202004694</v>
      </c>
      <c r="C40" s="4" t="s">
        <v>48</v>
      </c>
      <c r="D40" s="4" t="s">
        <v>54</v>
      </c>
      <c r="E40" s="4" t="s">
        <v>237</v>
      </c>
      <c r="F40" s="29">
        <v>150</v>
      </c>
      <c r="G40" s="30" t="s">
        <v>332</v>
      </c>
      <c r="H40" s="31">
        <v>16030924</v>
      </c>
      <c r="I40" s="32">
        <v>4600091884</v>
      </c>
      <c r="J40" s="37">
        <f>SUMIFS('Rincian RAB'!$J$2:$J$254,'Rincian RAB'!$B$2:$B$254,$B40)</f>
        <v>14937629</v>
      </c>
      <c r="K40" s="38">
        <f t="shared" si="1"/>
        <v>1093295</v>
      </c>
    </row>
    <row r="41" spans="1:12">
      <c r="A41" s="4">
        <v>311490003398</v>
      </c>
      <c r="B41" s="4">
        <v>311202004695</v>
      </c>
      <c r="C41" s="4" t="s">
        <v>48</v>
      </c>
      <c r="D41" s="4" t="s">
        <v>54</v>
      </c>
      <c r="E41" s="4" t="s">
        <v>239</v>
      </c>
      <c r="F41" s="29">
        <v>200</v>
      </c>
      <c r="G41" s="30" t="s">
        <v>333</v>
      </c>
      <c r="H41" s="30"/>
      <c r="J41" s="37">
        <f>SUMIFS('Rincian RAB'!$J$2:$J$254,'Rincian RAB'!$B$2:$B$254,$B41)</f>
        <v>0</v>
      </c>
      <c r="K41" s="38" t="str">
        <f t="shared" si="1"/>
        <v/>
      </c>
    </row>
    <row r="42" spans="1:12">
      <c r="A42" s="4">
        <v>311490003398</v>
      </c>
      <c r="B42" s="4">
        <v>311202004697</v>
      </c>
      <c r="C42" s="4" t="s">
        <v>48</v>
      </c>
      <c r="D42" s="4" t="s">
        <v>54</v>
      </c>
      <c r="E42" s="4" t="s">
        <v>240</v>
      </c>
      <c r="F42" s="29">
        <v>300</v>
      </c>
      <c r="G42" s="30" t="s">
        <v>334</v>
      </c>
      <c r="H42" s="31">
        <v>10405828</v>
      </c>
      <c r="I42" s="32">
        <v>4600071429</v>
      </c>
      <c r="J42" s="37">
        <f>SUMIFS('Rincian RAB'!$J$2:$J$254,'Rincian RAB'!$B$2:$B$254,$B42)</f>
        <v>9234385</v>
      </c>
      <c r="K42" s="38">
        <f t="shared" si="1"/>
        <v>1171443</v>
      </c>
    </row>
    <row r="43" spans="1:12">
      <c r="A43" s="4">
        <v>311490003398</v>
      </c>
      <c r="B43" s="4">
        <v>311202004698</v>
      </c>
      <c r="C43" s="4" t="s">
        <v>48</v>
      </c>
      <c r="D43" s="4" t="s">
        <v>54</v>
      </c>
      <c r="E43" s="4" t="s">
        <v>241</v>
      </c>
      <c r="F43" s="29">
        <v>100</v>
      </c>
      <c r="G43" s="30" t="s">
        <v>335</v>
      </c>
      <c r="H43" s="31">
        <f>9569083+16286258</f>
        <v>25855341</v>
      </c>
      <c r="I43" s="33" t="s">
        <v>336</v>
      </c>
      <c r="J43" s="39">
        <f>SUMIFS('Rincian RAB'!$J$2:$J$254,'Rincian RAB'!$B$2:$B$254,$B43)</f>
        <v>9234385</v>
      </c>
      <c r="K43" s="38">
        <f t="shared" si="1"/>
        <v>16620956</v>
      </c>
    </row>
    <row r="44" spans="1:12">
      <c r="A44" s="4">
        <v>311490003398</v>
      </c>
      <c r="B44" s="4">
        <v>311202004699</v>
      </c>
      <c r="C44" s="4" t="s">
        <v>48</v>
      </c>
      <c r="D44" s="4" t="s">
        <v>54</v>
      </c>
      <c r="E44" s="4" t="s">
        <v>243</v>
      </c>
      <c r="F44" s="29">
        <v>150</v>
      </c>
      <c r="G44" s="30" t="s">
        <v>337</v>
      </c>
      <c r="H44" s="31">
        <v>22490604</v>
      </c>
      <c r="I44" s="32">
        <v>4600071144</v>
      </c>
      <c r="J44" s="37">
        <f>SUMIFS('Rincian RAB'!$J$2:$J$254,'Rincian RAB'!$B$2:$B$254,$B44)</f>
        <v>9234385</v>
      </c>
      <c r="K44" s="38">
        <f t="shared" si="1"/>
        <v>13256219</v>
      </c>
    </row>
    <row r="45" spans="1:12">
      <c r="A45" s="4">
        <v>311490003398</v>
      </c>
      <c r="B45" s="4">
        <v>311202004700</v>
      </c>
      <c r="C45" s="4" t="s">
        <v>48</v>
      </c>
      <c r="D45" s="4" t="s">
        <v>54</v>
      </c>
      <c r="E45" s="4" t="s">
        <v>245</v>
      </c>
      <c r="F45" s="29">
        <v>500</v>
      </c>
      <c r="G45" s="30" t="s">
        <v>338</v>
      </c>
      <c r="H45" s="31">
        <v>9903781</v>
      </c>
      <c r="I45" s="32">
        <v>4600071215</v>
      </c>
      <c r="J45" s="37">
        <f>SUMIFS('Rincian RAB'!$J$2:$J$254,'Rincian RAB'!$B$2:$B$254,$B45)</f>
        <v>9234385</v>
      </c>
      <c r="K45" s="38">
        <f t="shared" si="1"/>
        <v>669396</v>
      </c>
    </row>
    <row r="46" spans="1:12">
      <c r="A46" s="4">
        <v>311490003398</v>
      </c>
      <c r="B46" s="4">
        <v>311202004701</v>
      </c>
      <c r="C46" s="4" t="s">
        <v>48</v>
      </c>
      <c r="D46" s="4" t="s">
        <v>54</v>
      </c>
      <c r="E46" s="4" t="s">
        <v>246</v>
      </c>
      <c r="F46" s="29">
        <v>300</v>
      </c>
      <c r="G46" s="30" t="s">
        <v>339</v>
      </c>
      <c r="H46" s="31">
        <v>9663032</v>
      </c>
      <c r="I46" s="32">
        <v>4600071157</v>
      </c>
      <c r="J46" s="37">
        <f>SUMIFS('Rincian RAB'!$J$2:$J$254,'Rincian RAB'!$B$2:$B$254,$B46)</f>
        <v>12151758</v>
      </c>
      <c r="K46" s="38">
        <f t="shared" si="1"/>
        <v>-2488726</v>
      </c>
    </row>
    <row r="47" spans="1:12">
      <c r="A47" s="4">
        <v>311490003398</v>
      </c>
      <c r="B47" s="4">
        <v>311202004702</v>
      </c>
      <c r="C47" s="4" t="s">
        <v>48</v>
      </c>
      <c r="D47" s="4" t="s">
        <v>54</v>
      </c>
      <c r="E47" s="4" t="s">
        <v>248</v>
      </c>
      <c r="F47" s="29">
        <v>400</v>
      </c>
      <c r="G47" s="30" t="s">
        <v>340</v>
      </c>
      <c r="H47" s="31">
        <v>8897312</v>
      </c>
      <c r="I47" s="32">
        <v>4600065850</v>
      </c>
      <c r="J47" s="37">
        <f>SUMIFS('Rincian RAB'!$J$2:$J$254,'Rincian RAB'!$B$2:$B$254,$B47)</f>
        <v>0</v>
      </c>
      <c r="K47" s="38" t="str">
        <f t="shared" si="1"/>
        <v/>
      </c>
    </row>
    <row r="48" spans="1:12">
      <c r="A48" s="4">
        <v>311490003398</v>
      </c>
      <c r="B48" s="4">
        <v>311202004703</v>
      </c>
      <c r="C48" s="4" t="s">
        <v>48</v>
      </c>
      <c r="D48" s="4" t="s">
        <v>54</v>
      </c>
      <c r="E48" s="4" t="s">
        <v>249</v>
      </c>
      <c r="F48" s="29">
        <v>300</v>
      </c>
      <c r="G48" s="30" t="s">
        <v>341</v>
      </c>
      <c r="H48" s="30"/>
      <c r="J48" s="37">
        <f>SUMIFS('Rincian RAB'!$J$2:$J$254,'Rincian RAB'!$B$2:$B$254,$B48)</f>
        <v>0</v>
      </c>
      <c r="K48" s="38" t="str">
        <f t="shared" si="1"/>
        <v/>
      </c>
    </row>
    <row r="49" spans="1:11">
      <c r="A49" s="4">
        <v>311490003398</v>
      </c>
      <c r="B49" s="4">
        <v>311202004704</v>
      </c>
      <c r="C49" s="4" t="s">
        <v>48</v>
      </c>
      <c r="D49" s="4" t="s">
        <v>54</v>
      </c>
      <c r="E49" s="4" t="s">
        <v>251</v>
      </c>
      <c r="F49" s="29">
        <v>450</v>
      </c>
      <c r="G49" s="30" t="s">
        <v>342</v>
      </c>
      <c r="H49" s="30"/>
      <c r="J49" s="37">
        <f>SUMIFS('Rincian RAB'!$J$2:$J$254,'Rincian RAB'!$B$2:$B$254,$B49)</f>
        <v>0</v>
      </c>
      <c r="K49" s="38" t="str">
        <f t="shared" si="1"/>
        <v/>
      </c>
    </row>
    <row r="50" spans="1:11">
      <c r="A50" s="4">
        <v>311490003398</v>
      </c>
      <c r="B50" s="4">
        <v>311202004705</v>
      </c>
      <c r="C50" s="4" t="s">
        <v>48</v>
      </c>
      <c r="D50" s="4" t="s">
        <v>54</v>
      </c>
      <c r="E50" s="4" t="s">
        <v>253</v>
      </c>
      <c r="F50" s="29">
        <v>270</v>
      </c>
      <c r="G50" s="30" t="s">
        <v>343</v>
      </c>
      <c r="H50" s="31">
        <v>10205998</v>
      </c>
      <c r="I50" s="32">
        <v>4600067030</v>
      </c>
      <c r="J50" s="37">
        <f>SUMIFS('Rincian RAB'!$J$2:$J$254,'Rincian RAB'!$B$2:$B$254,$B50)</f>
        <v>8894900</v>
      </c>
      <c r="K50" s="38">
        <f t="shared" si="1"/>
        <v>1311098</v>
      </c>
    </row>
    <row r="51" spans="1:11">
      <c r="A51" s="4">
        <v>311490003398</v>
      </c>
      <c r="B51" s="4">
        <v>311202004707</v>
      </c>
      <c r="C51" s="4" t="s">
        <v>48</v>
      </c>
      <c r="D51" s="4" t="s">
        <v>54</v>
      </c>
      <c r="E51" s="4" t="s">
        <v>257</v>
      </c>
      <c r="F51" s="29">
        <v>700</v>
      </c>
      <c r="G51" s="30" t="s">
        <v>344</v>
      </c>
      <c r="H51" s="31">
        <v>9401734</v>
      </c>
      <c r="I51" s="32">
        <v>4600071156</v>
      </c>
      <c r="J51" s="37">
        <f>SUMIFS('Rincian RAB'!$J$2:$J$254,'Rincian RAB'!$B$2:$B$254,$B51)</f>
        <v>9234385</v>
      </c>
      <c r="K51" s="38">
        <f t="shared" si="1"/>
        <v>167349</v>
      </c>
    </row>
    <row r="52" spans="1:11">
      <c r="A52" s="4">
        <v>311490003398</v>
      </c>
      <c r="B52" s="4">
        <v>311202004708</v>
      </c>
      <c r="C52" s="4" t="s">
        <v>48</v>
      </c>
      <c r="D52" s="4" t="s">
        <v>54</v>
      </c>
      <c r="E52" s="4" t="s">
        <v>259</v>
      </c>
      <c r="F52" s="29">
        <v>150</v>
      </c>
      <c r="G52" s="30" t="s">
        <v>345</v>
      </c>
      <c r="H52" s="31">
        <v>13236866</v>
      </c>
      <c r="I52" s="32">
        <v>4600071224</v>
      </c>
      <c r="J52" s="37">
        <f>SUMIFS('Rincian RAB'!$J$2:$J$254,'Rincian RAB'!$B$2:$B$254,$B52)</f>
        <v>14698995</v>
      </c>
      <c r="K52" s="38">
        <f t="shared" si="1"/>
        <v>-1462129</v>
      </c>
    </row>
    <row r="53" spans="1:11">
      <c r="A53" s="4">
        <v>311490003398</v>
      </c>
      <c r="B53" s="4">
        <v>311202004709</v>
      </c>
      <c r="C53" s="4" t="s">
        <v>48</v>
      </c>
      <c r="D53" s="4" t="s">
        <v>54</v>
      </c>
      <c r="E53" s="4" t="s">
        <v>260</v>
      </c>
      <c r="F53" s="29">
        <v>200</v>
      </c>
      <c r="G53" s="30" t="s">
        <v>346</v>
      </c>
      <c r="H53" s="31">
        <v>21517172</v>
      </c>
      <c r="I53" s="32">
        <v>4600071237</v>
      </c>
      <c r="J53" s="37">
        <f>SUMIFS('Rincian RAB'!$J$2:$J$254,'Rincian RAB'!$B$2:$B$254,$B53)</f>
        <v>19847535</v>
      </c>
      <c r="K53" s="38">
        <f t="shared" si="1"/>
        <v>1669637</v>
      </c>
    </row>
    <row r="54" spans="1:11">
      <c r="A54" s="4">
        <v>311490003398</v>
      </c>
      <c r="B54" s="4">
        <v>311202004710</v>
      </c>
      <c r="C54" s="4" t="s">
        <v>48</v>
      </c>
      <c r="D54" s="4" t="s">
        <v>54</v>
      </c>
      <c r="E54" s="4" t="s">
        <v>262</v>
      </c>
      <c r="F54" s="29">
        <v>100</v>
      </c>
      <c r="G54" s="30" t="s">
        <v>347</v>
      </c>
      <c r="H54" s="31">
        <v>9401734</v>
      </c>
      <c r="I54" s="32">
        <v>4600071239</v>
      </c>
      <c r="J54" s="37">
        <f>SUMIFS('Rincian RAB'!$J$2:$J$254,'Rincian RAB'!$B$2:$B$254,$B54)</f>
        <v>10529165</v>
      </c>
      <c r="K54" s="38">
        <f t="shared" si="1"/>
        <v>-1127431</v>
      </c>
    </row>
    <row r="55" spans="1:11">
      <c r="A55" s="4">
        <v>311490003398</v>
      </c>
      <c r="B55" s="4">
        <v>311202004711</v>
      </c>
      <c r="C55" s="4" t="s">
        <v>48</v>
      </c>
      <c r="D55" s="4" t="s">
        <v>54</v>
      </c>
      <c r="E55" s="4" t="s">
        <v>264</v>
      </c>
      <c r="F55" s="29">
        <v>200</v>
      </c>
      <c r="G55" s="30" t="s">
        <v>348</v>
      </c>
      <c r="H55" s="31">
        <v>10071130</v>
      </c>
      <c r="I55" s="32">
        <v>4600071416</v>
      </c>
      <c r="J55" s="37">
        <f>SUMIFS('Rincian RAB'!$J$2:$J$254,'Rincian RAB'!$B$2:$B$254,$B55)</f>
        <v>9234385</v>
      </c>
      <c r="K55" s="38">
        <f t="shared" si="1"/>
        <v>836745</v>
      </c>
    </row>
    <row r="56" spans="1:11">
      <c r="A56" s="4">
        <v>311490003398</v>
      </c>
      <c r="B56" s="4">
        <v>311202004712</v>
      </c>
      <c r="C56" s="4" t="s">
        <v>48</v>
      </c>
      <c r="D56" s="4" t="s">
        <v>54</v>
      </c>
      <c r="E56" s="4" t="s">
        <v>265</v>
      </c>
      <c r="F56" s="29">
        <v>900</v>
      </c>
      <c r="G56" s="30" t="s">
        <v>349</v>
      </c>
      <c r="H56" s="31">
        <v>10238479</v>
      </c>
      <c r="I56" s="32">
        <v>4600071119</v>
      </c>
      <c r="J56" s="37">
        <f>SUMIFS('Rincian RAB'!$J$2:$J$254,'Rincian RAB'!$B$2:$B$254,$B56)</f>
        <v>9234385</v>
      </c>
      <c r="K56" s="38">
        <f t="shared" si="1"/>
        <v>1004094</v>
      </c>
    </row>
    <row r="57" spans="1:11">
      <c r="A57" s="4">
        <v>311490003398</v>
      </c>
      <c r="B57" s="4">
        <v>311202004713</v>
      </c>
      <c r="C57" s="4" t="s">
        <v>48</v>
      </c>
      <c r="D57" s="4" t="s">
        <v>54</v>
      </c>
      <c r="E57" s="4" t="s">
        <v>266</v>
      </c>
      <c r="F57" s="29">
        <v>100</v>
      </c>
      <c r="G57" s="30" t="s">
        <v>350</v>
      </c>
      <c r="H57" s="30"/>
      <c r="J57" s="37">
        <f>SUMIFS('Rincian RAB'!$J$2:$J$254,'Rincian RAB'!$B$2:$B$254,$B57)</f>
        <v>0</v>
      </c>
      <c r="K57" s="38" t="str">
        <f t="shared" si="1"/>
        <v/>
      </c>
    </row>
    <row r="58" spans="1:11">
      <c r="A58" s="4">
        <v>311490003398</v>
      </c>
      <c r="B58" s="4">
        <v>311202004714</v>
      </c>
      <c r="C58" s="4" t="s">
        <v>48</v>
      </c>
      <c r="D58" s="4" t="s">
        <v>54</v>
      </c>
      <c r="E58" s="4" t="s">
        <v>268</v>
      </c>
      <c r="F58" s="29">
        <v>100</v>
      </c>
      <c r="G58" s="30" t="s">
        <v>351</v>
      </c>
      <c r="H58" s="31">
        <v>11365910</v>
      </c>
      <c r="I58" s="32">
        <v>4600071431</v>
      </c>
      <c r="J58" s="37">
        <f>SUMIFS('Rincian RAB'!$J$2:$J$254,'Rincian RAB'!$B$2:$B$254,$B58)</f>
        <v>10529165</v>
      </c>
      <c r="K58" s="38">
        <f t="shared" si="1"/>
        <v>836745</v>
      </c>
    </row>
    <row r="59" spans="1:11">
      <c r="A59" s="4">
        <v>311490003398</v>
      </c>
      <c r="B59" s="4">
        <v>311202004715</v>
      </c>
      <c r="C59" s="4" t="s">
        <v>48</v>
      </c>
      <c r="D59" s="4" t="s">
        <v>54</v>
      </c>
      <c r="E59" s="4" t="s">
        <v>270</v>
      </c>
      <c r="F59" s="29">
        <v>100</v>
      </c>
      <c r="G59" s="30" t="s">
        <v>352</v>
      </c>
      <c r="H59" s="31">
        <v>2100531</v>
      </c>
      <c r="I59" s="32">
        <v>4600071430</v>
      </c>
      <c r="J59" s="37">
        <f>SUMIFS('Rincian RAB'!$J$2:$J$254,'Rincian RAB'!$B$2:$B$254,$B59)</f>
        <v>9234385</v>
      </c>
      <c r="K59" s="38">
        <f t="shared" si="1"/>
        <v>-7133854</v>
      </c>
    </row>
    <row r="60" spans="1:11">
      <c r="A60" s="4">
        <v>311490003398</v>
      </c>
      <c r="B60" s="4">
        <v>311202004716</v>
      </c>
      <c r="C60" s="4" t="s">
        <v>48</v>
      </c>
      <c r="D60" s="4" t="s">
        <v>54</v>
      </c>
      <c r="E60" s="4" t="s">
        <v>271</v>
      </c>
      <c r="F60" s="29">
        <v>100</v>
      </c>
      <c r="G60" s="30" t="s">
        <v>353</v>
      </c>
      <c r="H60" s="31">
        <v>9401734</v>
      </c>
      <c r="I60" s="32">
        <v>4600071234</v>
      </c>
      <c r="J60" s="37">
        <f>SUMIFS('Rincian RAB'!$J$2:$J$254,'Rincian RAB'!$B$2:$B$254,$B60)</f>
        <v>9234385</v>
      </c>
      <c r="K60" s="38">
        <f t="shared" si="1"/>
        <v>167349</v>
      </c>
    </row>
    <row r="61" spans="1:11">
      <c r="A61" s="4">
        <v>311490003398</v>
      </c>
      <c r="B61" s="4">
        <v>311202004717</v>
      </c>
      <c r="C61" s="4" t="s">
        <v>48</v>
      </c>
      <c r="D61" s="4" t="s">
        <v>54</v>
      </c>
      <c r="E61" s="4" t="s">
        <v>272</v>
      </c>
      <c r="F61" s="29">
        <v>140</v>
      </c>
      <c r="G61" s="30" t="s">
        <v>354</v>
      </c>
      <c r="H61" s="31">
        <v>14575658</v>
      </c>
      <c r="I61" s="32">
        <v>4600071149</v>
      </c>
      <c r="J61" s="37">
        <f>SUMIFS('Rincian RAB'!$J$2:$J$254,'Rincian RAB'!$B$2:$B$254,$B61)</f>
        <v>9234385</v>
      </c>
      <c r="K61" s="38">
        <f t="shared" si="1"/>
        <v>5341273</v>
      </c>
    </row>
    <row r="62" spans="1:11">
      <c r="A62" s="4">
        <v>311490003398</v>
      </c>
      <c r="B62" s="4">
        <v>311202004718</v>
      </c>
      <c r="C62" s="4" t="s">
        <v>48</v>
      </c>
      <c r="D62" s="4" t="s">
        <v>54</v>
      </c>
      <c r="E62" s="4" t="s">
        <v>273</v>
      </c>
      <c r="F62" s="29">
        <v>250</v>
      </c>
      <c r="G62" s="30" t="s">
        <v>355</v>
      </c>
      <c r="H62" s="31">
        <v>9053277</v>
      </c>
      <c r="J62" s="37">
        <f>SUMIFS('Rincian RAB'!$J$2:$J$254,'Rincian RAB'!$B$2:$B$254,$B62)</f>
        <v>0</v>
      </c>
      <c r="K62" s="38" t="str">
        <f t="shared" si="1"/>
        <v/>
      </c>
    </row>
    <row r="63" spans="1:11">
      <c r="A63" s="4">
        <v>311490003398</v>
      </c>
      <c r="B63" s="4">
        <v>311202004720</v>
      </c>
      <c r="C63" s="4" t="s">
        <v>48</v>
      </c>
      <c r="D63" s="4" t="s">
        <v>54</v>
      </c>
      <c r="E63" s="4" t="s">
        <v>275</v>
      </c>
      <c r="F63" s="29">
        <v>150</v>
      </c>
      <c r="G63" s="30" t="s">
        <v>356</v>
      </c>
      <c r="H63" s="30"/>
      <c r="J63" s="37">
        <f>SUMIFS('Rincian RAB'!$J$2:$J$254,'Rincian RAB'!$B$2:$B$254,$B63)</f>
        <v>0</v>
      </c>
      <c r="K63" s="38" t="str">
        <f t="shared" si="1"/>
        <v/>
      </c>
    </row>
    <row r="64" spans="1:11">
      <c r="A64" s="4">
        <v>311490003398</v>
      </c>
      <c r="B64" s="4">
        <v>311202004724</v>
      </c>
      <c r="C64" s="4" t="s">
        <v>48</v>
      </c>
      <c r="D64" s="4" t="s">
        <v>54</v>
      </c>
      <c r="E64" s="4" t="s">
        <v>280</v>
      </c>
      <c r="F64" s="29">
        <v>200</v>
      </c>
      <c r="G64" s="30" t="s">
        <v>315</v>
      </c>
      <c r="H64" s="30"/>
      <c r="J64" s="37">
        <f>SUMIFS('Rincian RAB'!$J$2:$J$254,'Rincian RAB'!$B$2:$B$254,$B64)</f>
        <v>0</v>
      </c>
      <c r="K64" s="38" t="str">
        <f t="shared" si="1"/>
        <v/>
      </c>
    </row>
    <row r="65" spans="1:11">
      <c r="A65" s="4">
        <v>311490003398</v>
      </c>
      <c r="B65" s="4">
        <v>311202004725</v>
      </c>
      <c r="C65" s="4" t="s">
        <v>48</v>
      </c>
      <c r="D65" s="4" t="s">
        <v>54</v>
      </c>
      <c r="E65" s="4" t="s">
        <v>282</v>
      </c>
      <c r="F65" s="29">
        <v>250</v>
      </c>
      <c r="G65" s="30" t="s">
        <v>357</v>
      </c>
      <c r="H65" s="31">
        <v>17068619</v>
      </c>
      <c r="I65" s="32">
        <v>4600115588</v>
      </c>
      <c r="J65" s="37">
        <f>SUMIFS('Rincian RAB'!$J$2:$J$254,'Rincian RAB'!$B$2:$B$254,$B65)</f>
        <v>17068619</v>
      </c>
      <c r="K65" s="38">
        <f t="shared" si="1"/>
        <v>0</v>
      </c>
    </row>
    <row r="66" spans="1:11">
      <c r="A66" s="4">
        <v>311490003398</v>
      </c>
      <c r="B66" s="4">
        <v>311202004726</v>
      </c>
      <c r="C66" s="4" t="s">
        <v>48</v>
      </c>
      <c r="D66" s="4" t="s">
        <v>54</v>
      </c>
      <c r="E66" s="4" t="s">
        <v>283</v>
      </c>
      <c r="F66" s="29">
        <v>200</v>
      </c>
      <c r="G66" s="34" t="s">
        <v>358</v>
      </c>
      <c r="H66" s="34">
        <v>11338509</v>
      </c>
      <c r="I66" s="32">
        <v>4600115584</v>
      </c>
      <c r="J66" s="37">
        <f>SUMIFS('Rincian RAB'!$J$2:$J$254,'Rincian RAB'!$B$2:$B$254,$B66)</f>
        <v>11621237</v>
      </c>
      <c r="K66" s="38">
        <f t="shared" ref="K66:K97" si="2">IF(J66=0,"",H66-J66)</f>
        <v>-282728</v>
      </c>
    </row>
    <row r="67" spans="1:11">
      <c r="F67" s="35"/>
      <c r="G67" s="40" t="s">
        <v>359</v>
      </c>
      <c r="H67" s="41">
        <f>SUM(H2:H66)</f>
        <v>501501552</v>
      </c>
      <c r="J67" s="41">
        <f>SUM(J2:J66)</f>
        <v>412126317</v>
      </c>
      <c r="K67" s="41">
        <f>SUM(K2:K66)</f>
        <v>22022051</v>
      </c>
    </row>
    <row r="68" spans="1:11">
      <c r="F68" s="35"/>
      <c r="G68" s="35"/>
      <c r="H68" s="35"/>
    </row>
    <row r="69" spans="1:11">
      <c r="F69" s="35"/>
      <c r="G69" s="35"/>
      <c r="H69" s="35"/>
    </row>
    <row r="70" spans="1:11">
      <c r="F70" s="35"/>
      <c r="G70" s="35"/>
      <c r="H70" s="35"/>
    </row>
    <row r="71" spans="1:11">
      <c r="F71" s="35"/>
      <c r="G71" s="35"/>
      <c r="H71" s="35"/>
    </row>
    <row r="72" spans="1:11">
      <c r="F72" s="35"/>
      <c r="G72" s="35"/>
      <c r="H72" s="35"/>
    </row>
    <row r="73" spans="1:11">
      <c r="F73" s="35"/>
      <c r="G73" s="35"/>
      <c r="H73" s="35"/>
    </row>
    <row r="74" spans="1:11">
      <c r="F74" s="35"/>
      <c r="G74" s="35"/>
      <c r="H74" s="35"/>
    </row>
    <row r="75" spans="1:11">
      <c r="F75" s="35"/>
      <c r="G75" s="35"/>
      <c r="H75" s="35"/>
    </row>
    <row r="76" spans="1:11">
      <c r="F76" s="35"/>
      <c r="G76" s="35"/>
      <c r="H76" s="35"/>
    </row>
    <row r="77" spans="1:11">
      <c r="F77" s="35"/>
      <c r="G77" s="35"/>
      <c r="H77" s="35"/>
    </row>
    <row r="78" spans="1:11">
      <c r="F78" s="35"/>
      <c r="G78" s="35"/>
      <c r="H78" s="35"/>
    </row>
    <row r="79" spans="1:11">
      <c r="F79" s="35"/>
      <c r="G79" s="35"/>
      <c r="H79" s="35"/>
    </row>
    <row r="80" spans="1:11">
      <c r="F80" s="35"/>
      <c r="G80" s="35"/>
      <c r="H80" s="35"/>
    </row>
    <row r="81" spans="6:8">
      <c r="F81" s="35"/>
      <c r="G81" s="35"/>
      <c r="H81" s="35"/>
    </row>
    <row r="82" spans="6:8">
      <c r="F82" s="35"/>
      <c r="G82" s="35"/>
      <c r="H82" s="35"/>
    </row>
    <row r="83" spans="6:8">
      <c r="F83" s="35"/>
      <c r="G83" s="35"/>
      <c r="H83" s="35"/>
    </row>
    <row r="84" spans="6:8">
      <c r="F84" s="35"/>
      <c r="G84" s="35"/>
      <c r="H84" s="35"/>
    </row>
    <row r="85" spans="6:8">
      <c r="F85" s="35"/>
      <c r="G85" s="35"/>
      <c r="H85" s="35"/>
    </row>
    <row r="86" spans="6:8">
      <c r="F86" s="35"/>
      <c r="G86" s="35"/>
      <c r="H86" s="35"/>
    </row>
    <row r="87" spans="6:8">
      <c r="F87" s="35"/>
      <c r="G87" s="35"/>
      <c r="H87" s="35"/>
    </row>
    <row r="88" spans="6:8">
      <c r="F88" s="35"/>
      <c r="G88" s="35"/>
      <c r="H88" s="35"/>
    </row>
    <row r="89" spans="6:8">
      <c r="F89" s="35"/>
      <c r="G89" s="35"/>
      <c r="H89" s="35"/>
    </row>
    <row r="90" spans="6:8">
      <c r="F90" s="35"/>
      <c r="G90" s="35"/>
      <c r="H90" s="35"/>
    </row>
    <row r="91" spans="6:8">
      <c r="F91" s="35"/>
      <c r="G91" s="35"/>
      <c r="H91" s="35"/>
    </row>
    <row r="92" spans="6:8">
      <c r="F92" s="35"/>
      <c r="G92" s="35"/>
      <c r="H92" s="35"/>
    </row>
    <row r="93" spans="6:8">
      <c r="F93" s="35"/>
      <c r="G93" s="35"/>
      <c r="H93" s="35"/>
    </row>
    <row r="94" spans="6:8">
      <c r="F94" s="35"/>
      <c r="G94" s="35"/>
      <c r="H94" s="35"/>
    </row>
    <row r="95" spans="6:8">
      <c r="F95" s="35"/>
      <c r="G95" s="35"/>
      <c r="H95" s="35"/>
    </row>
    <row r="96" spans="6:8">
      <c r="F96" s="35"/>
      <c r="G96" s="35"/>
      <c r="H96" s="35"/>
    </row>
    <row r="97" spans="6:8">
      <c r="F97" s="35"/>
      <c r="G97" s="35"/>
      <c r="H97" s="35"/>
    </row>
    <row r="98" spans="6:8">
      <c r="F98" s="35"/>
      <c r="G98" s="35"/>
      <c r="H98" s="35"/>
    </row>
    <row r="99" spans="6:8">
      <c r="F99" s="35"/>
      <c r="G99" s="35"/>
      <c r="H99" s="35"/>
    </row>
    <row r="100" spans="6:8">
      <c r="F100" s="35"/>
      <c r="G100" s="35"/>
      <c r="H100" s="35"/>
    </row>
    <row r="101" spans="6:8">
      <c r="F101" s="35"/>
      <c r="G101" s="35"/>
      <c r="H101" s="35"/>
    </row>
    <row r="102" spans="6:8">
      <c r="F102" s="35"/>
      <c r="G102" s="35"/>
      <c r="H102" s="35"/>
    </row>
    <row r="103" spans="6:8">
      <c r="F103" s="35"/>
      <c r="G103" s="35"/>
      <c r="H103" s="35"/>
    </row>
    <row r="104" spans="6:8">
      <c r="F104" s="35"/>
      <c r="G104" s="35"/>
      <c r="H104" s="35"/>
    </row>
    <row r="105" spans="6:8">
      <c r="F105" s="35"/>
      <c r="G105" s="35"/>
      <c r="H105" s="35"/>
    </row>
    <row r="106" spans="6:8">
      <c r="F106" s="35"/>
      <c r="G106" s="35"/>
      <c r="H106" s="35"/>
    </row>
    <row r="107" spans="6:8">
      <c r="F107" s="35"/>
      <c r="G107" s="35"/>
      <c r="H107" s="35"/>
    </row>
    <row r="108" spans="6:8">
      <c r="F108" s="35"/>
      <c r="G108" s="35"/>
      <c r="H108" s="35"/>
    </row>
    <row r="109" spans="6:8">
      <c r="F109" s="35"/>
      <c r="G109" s="35"/>
      <c r="H109" s="35"/>
    </row>
    <row r="110" spans="6:8">
      <c r="F110" s="35"/>
      <c r="G110" s="35"/>
      <c r="H110" s="35"/>
    </row>
    <row r="111" spans="6:8">
      <c r="F111" s="35"/>
      <c r="G111" s="35"/>
      <c r="H111" s="35"/>
    </row>
    <row r="112" spans="6:8">
      <c r="F112" s="35"/>
      <c r="G112" s="35"/>
      <c r="H112" s="35"/>
    </row>
    <row r="113" spans="6:8">
      <c r="F113" s="35"/>
      <c r="G113" s="35"/>
      <c r="H113" s="35"/>
    </row>
    <row r="114" spans="6:8">
      <c r="F114" s="35"/>
      <c r="G114" s="35"/>
      <c r="H114" s="35"/>
    </row>
    <row r="115" spans="6:8">
      <c r="F115" s="35"/>
      <c r="G115" s="35"/>
      <c r="H115" s="35"/>
    </row>
    <row r="116" spans="6:8">
      <c r="F116" s="35"/>
      <c r="G116" s="35"/>
      <c r="H116" s="35"/>
    </row>
    <row r="117" spans="6:8">
      <c r="F117" s="35"/>
      <c r="G117" s="35"/>
      <c r="H117" s="35"/>
    </row>
    <row r="118" spans="6:8">
      <c r="F118" s="35"/>
      <c r="G118" s="35"/>
      <c r="H118" s="35"/>
    </row>
    <row r="119" spans="6:8">
      <c r="F119" s="35"/>
      <c r="G119" s="35"/>
      <c r="H119" s="35"/>
    </row>
    <row r="120" spans="6:8">
      <c r="F120" s="35"/>
      <c r="G120" s="35"/>
      <c r="H120" s="35"/>
    </row>
    <row r="121" spans="6:8">
      <c r="F121" s="35"/>
      <c r="G121" s="35"/>
      <c r="H121" s="35"/>
    </row>
    <row r="122" spans="6:8">
      <c r="F122" s="35"/>
      <c r="G122" s="35"/>
      <c r="H122" s="35"/>
    </row>
    <row r="123" spans="6:8">
      <c r="F123" s="35"/>
      <c r="G123" s="35"/>
      <c r="H123" s="35"/>
    </row>
    <row r="124" spans="6:8">
      <c r="F124" s="35"/>
      <c r="G124" s="35"/>
      <c r="H124" s="35"/>
    </row>
    <row r="125" spans="6:8">
      <c r="F125" s="35"/>
      <c r="G125" s="35"/>
      <c r="H125" s="35"/>
    </row>
    <row r="126" spans="6:8">
      <c r="F126" s="35"/>
      <c r="G126" s="35"/>
      <c r="H126" s="35"/>
    </row>
    <row r="127" spans="6:8">
      <c r="F127" s="35"/>
      <c r="G127" s="35"/>
      <c r="H127" s="35"/>
    </row>
    <row r="128" spans="6:8">
      <c r="F128" s="35"/>
      <c r="G128" s="35"/>
      <c r="H128" s="35"/>
    </row>
    <row r="129" spans="6:8">
      <c r="F129" s="35"/>
      <c r="G129" s="35"/>
      <c r="H129" s="35"/>
    </row>
    <row r="130" spans="6:8">
      <c r="F130" s="35"/>
      <c r="G130" s="35"/>
      <c r="H130" s="35"/>
    </row>
    <row r="131" spans="6:8">
      <c r="F131" s="35"/>
      <c r="G131" s="35"/>
      <c r="H131" s="35"/>
    </row>
    <row r="132" spans="6:8">
      <c r="F132" s="35"/>
      <c r="G132" s="35"/>
      <c r="H132" s="35"/>
    </row>
    <row r="133" spans="6:8">
      <c r="F133" s="35"/>
      <c r="G133" s="35"/>
      <c r="H133" s="35"/>
    </row>
    <row r="134" spans="6:8">
      <c r="F134" s="35"/>
      <c r="G134" s="35"/>
      <c r="H134" s="35"/>
    </row>
    <row r="135" spans="6:8">
      <c r="F135" s="35"/>
      <c r="G135" s="35"/>
      <c r="H135" s="35"/>
    </row>
    <row r="136" spans="6:8">
      <c r="F136" s="35"/>
      <c r="G136" s="35"/>
      <c r="H136" s="35"/>
    </row>
    <row r="137" spans="6:8">
      <c r="F137" s="35"/>
      <c r="G137" s="35"/>
      <c r="H137" s="35"/>
    </row>
    <row r="138" spans="6:8">
      <c r="F138" s="35"/>
      <c r="G138" s="35"/>
      <c r="H138" s="35"/>
    </row>
    <row r="139" spans="6:8">
      <c r="F139" s="35"/>
      <c r="G139" s="35"/>
      <c r="H139" s="35"/>
    </row>
    <row r="140" spans="6:8">
      <c r="F140" s="35"/>
      <c r="G140" s="35"/>
      <c r="H140" s="35"/>
    </row>
    <row r="141" spans="6:8">
      <c r="F141" s="35"/>
      <c r="G141" s="35"/>
      <c r="H141" s="35"/>
    </row>
    <row r="142" spans="6:8">
      <c r="F142" s="35"/>
      <c r="G142" s="35"/>
      <c r="H142" s="35"/>
    </row>
    <row r="143" spans="6:8">
      <c r="F143" s="35"/>
      <c r="G143" s="35"/>
      <c r="H143" s="35"/>
    </row>
    <row r="144" spans="6:8">
      <c r="F144" s="35"/>
      <c r="G144" s="35"/>
      <c r="H144" s="35"/>
    </row>
    <row r="145" spans="6:8">
      <c r="F145" s="35"/>
      <c r="G145" s="35"/>
      <c r="H145" s="35"/>
    </row>
    <row r="146" spans="6:8">
      <c r="F146" s="35"/>
      <c r="G146" s="35"/>
      <c r="H146" s="35"/>
    </row>
    <row r="147" spans="6:8">
      <c r="F147" s="35"/>
      <c r="G147" s="35"/>
      <c r="H147" s="35"/>
    </row>
    <row r="148" spans="6:8">
      <c r="F148" s="35"/>
      <c r="G148" s="35"/>
      <c r="H148" s="35"/>
    </row>
    <row r="149" spans="6:8">
      <c r="F149" s="35"/>
      <c r="G149" s="35"/>
      <c r="H149" s="35"/>
    </row>
    <row r="150" spans="6:8">
      <c r="F150" s="35"/>
      <c r="G150" s="35"/>
      <c r="H150" s="35"/>
    </row>
    <row r="151" spans="6:8">
      <c r="F151" s="35"/>
      <c r="G151" s="35"/>
      <c r="H151" s="35"/>
    </row>
    <row r="152" spans="6:8">
      <c r="F152" s="35"/>
      <c r="G152" s="35"/>
      <c r="H152" s="35"/>
    </row>
    <row r="153" spans="6:8">
      <c r="F153" s="35"/>
      <c r="G153" s="35"/>
      <c r="H153" s="35"/>
    </row>
    <row r="154" spans="6:8">
      <c r="F154" s="35"/>
      <c r="G154" s="35"/>
      <c r="H154" s="35"/>
    </row>
    <row r="155" spans="6:8">
      <c r="F155" s="35"/>
      <c r="G155" s="35"/>
      <c r="H155" s="35"/>
    </row>
    <row r="156" spans="6:8">
      <c r="F156" s="35"/>
      <c r="G156" s="35"/>
      <c r="H156" s="35"/>
    </row>
    <row r="157" spans="6:8">
      <c r="F157" s="35"/>
      <c r="G157" s="35"/>
      <c r="H157" s="35"/>
    </row>
    <row r="158" spans="6:8">
      <c r="F158" s="35"/>
      <c r="G158" s="35"/>
      <c r="H158" s="35"/>
    </row>
    <row r="159" spans="6:8">
      <c r="F159" s="35"/>
      <c r="G159" s="35"/>
      <c r="H159" s="35"/>
    </row>
    <row r="160" spans="6:8">
      <c r="F160" s="35"/>
      <c r="G160" s="35"/>
      <c r="H160" s="35"/>
    </row>
    <row r="161" spans="6:8">
      <c r="F161" s="35"/>
      <c r="G161" s="35"/>
      <c r="H161" s="35"/>
    </row>
    <row r="162" spans="6:8">
      <c r="F162" s="35"/>
      <c r="G162" s="35"/>
      <c r="H162" s="35"/>
    </row>
    <row r="163" spans="6:8">
      <c r="F163" s="35"/>
      <c r="G163" s="35"/>
      <c r="H163" s="35"/>
    </row>
    <row r="164" spans="6:8">
      <c r="F164" s="35"/>
      <c r="G164" s="35"/>
      <c r="H164" s="35"/>
    </row>
    <row r="165" spans="6:8">
      <c r="F165" s="35"/>
      <c r="G165" s="35"/>
      <c r="H165" s="35"/>
    </row>
    <row r="166" spans="6:8">
      <c r="F166" s="35"/>
      <c r="G166" s="35"/>
      <c r="H166" s="35"/>
    </row>
    <row r="167" spans="6:8">
      <c r="F167" s="35"/>
      <c r="G167" s="35"/>
      <c r="H167" s="35"/>
    </row>
    <row r="168" spans="6:8">
      <c r="F168" s="35"/>
      <c r="G168" s="35"/>
      <c r="H168" s="35"/>
    </row>
    <row r="169" spans="6:8">
      <c r="F169" s="35"/>
      <c r="G169" s="35"/>
      <c r="H169" s="35"/>
    </row>
    <row r="170" spans="6:8">
      <c r="F170" s="35"/>
      <c r="G170" s="35"/>
      <c r="H170" s="35"/>
    </row>
    <row r="171" spans="6:8">
      <c r="F171" s="35"/>
      <c r="G171" s="35"/>
      <c r="H171" s="35"/>
    </row>
    <row r="172" spans="6:8">
      <c r="F172" s="35"/>
      <c r="G172" s="35"/>
      <c r="H172" s="35"/>
    </row>
    <row r="173" spans="6:8">
      <c r="F173" s="35"/>
      <c r="G173" s="35"/>
      <c r="H173" s="35"/>
    </row>
    <row r="174" spans="6:8">
      <c r="F174" s="35"/>
      <c r="G174" s="35"/>
      <c r="H174" s="35"/>
    </row>
    <row r="175" spans="6:8">
      <c r="F175" s="35"/>
      <c r="G175" s="35"/>
      <c r="H175" s="35"/>
    </row>
    <row r="176" spans="6:8">
      <c r="F176" s="35"/>
      <c r="G176" s="35"/>
      <c r="H176" s="35"/>
    </row>
    <row r="177" spans="6:8">
      <c r="F177" s="35"/>
      <c r="G177" s="35"/>
      <c r="H177" s="35"/>
    </row>
    <row r="178" spans="6:8">
      <c r="F178" s="35"/>
      <c r="G178" s="35"/>
      <c r="H178" s="35"/>
    </row>
    <row r="179" spans="6:8">
      <c r="F179" s="35"/>
      <c r="G179" s="35"/>
      <c r="H179" s="35"/>
    </row>
    <row r="180" spans="6:8">
      <c r="F180" s="35"/>
      <c r="G180" s="35"/>
      <c r="H180" s="35"/>
    </row>
    <row r="181" spans="6:8">
      <c r="F181" s="35"/>
      <c r="G181" s="35"/>
      <c r="H181" s="35"/>
    </row>
    <row r="182" spans="6:8">
      <c r="F182" s="35"/>
      <c r="G182" s="35"/>
      <c r="H182" s="35"/>
    </row>
    <row r="183" spans="6:8">
      <c r="F183" s="35"/>
      <c r="G183" s="35"/>
      <c r="H183" s="35"/>
    </row>
    <row r="184" spans="6:8">
      <c r="F184" s="35"/>
      <c r="G184" s="35"/>
      <c r="H184" s="35"/>
    </row>
    <row r="185" spans="6:8">
      <c r="F185" s="35"/>
      <c r="G185" s="35"/>
      <c r="H185" s="35"/>
    </row>
    <row r="186" spans="6:8">
      <c r="F186" s="35"/>
      <c r="G186" s="35"/>
      <c r="H186" s="35"/>
    </row>
    <row r="187" spans="6:8">
      <c r="F187" s="35"/>
      <c r="G187" s="35"/>
      <c r="H187" s="35"/>
    </row>
    <row r="188" spans="6:8">
      <c r="F188" s="35"/>
      <c r="G188" s="35"/>
      <c r="H188" s="35"/>
    </row>
    <row r="189" spans="6:8">
      <c r="F189" s="35"/>
      <c r="G189" s="35"/>
      <c r="H189" s="35"/>
    </row>
    <row r="190" spans="6:8">
      <c r="F190" s="35"/>
      <c r="G190" s="35"/>
      <c r="H190" s="35"/>
    </row>
    <row r="191" spans="6:8">
      <c r="F191" s="35"/>
      <c r="G191" s="35"/>
      <c r="H191" s="35"/>
    </row>
    <row r="192" spans="6:8">
      <c r="F192" s="35"/>
      <c r="G192" s="35"/>
      <c r="H192" s="35"/>
    </row>
    <row r="193" spans="6:8">
      <c r="F193" s="35"/>
      <c r="G193" s="35"/>
      <c r="H193" s="35"/>
    </row>
    <row r="194" spans="6:8">
      <c r="F194" s="35"/>
      <c r="G194" s="35"/>
      <c r="H194" s="35"/>
    </row>
    <row r="195" spans="6:8">
      <c r="F195" s="35"/>
      <c r="G195" s="35"/>
      <c r="H195" s="35"/>
    </row>
    <row r="196" spans="6:8">
      <c r="F196" s="35"/>
      <c r="G196" s="35"/>
      <c r="H196" s="35"/>
    </row>
    <row r="197" spans="6:8">
      <c r="F197" s="35"/>
      <c r="G197" s="35"/>
      <c r="H197" s="35"/>
    </row>
    <row r="198" spans="6:8">
      <c r="F198" s="35"/>
      <c r="G198" s="35"/>
      <c r="H198" s="35"/>
    </row>
    <row r="199" spans="6:8">
      <c r="F199" s="35"/>
      <c r="G199" s="35"/>
      <c r="H199" s="35"/>
    </row>
    <row r="200" spans="6:8">
      <c r="F200" s="35"/>
      <c r="G200" s="35"/>
      <c r="H200" s="35"/>
    </row>
    <row r="201" spans="6:8">
      <c r="F201" s="35"/>
      <c r="G201" s="35"/>
      <c r="H201" s="35"/>
    </row>
    <row r="202" spans="6:8">
      <c r="F202" s="35"/>
      <c r="G202" s="35"/>
      <c r="H202" s="35"/>
    </row>
    <row r="203" spans="6:8">
      <c r="F203" s="35"/>
      <c r="G203" s="35"/>
      <c r="H203" s="35"/>
    </row>
    <row r="204" spans="6:8">
      <c r="F204" s="35"/>
      <c r="G204" s="35"/>
      <c r="H204" s="35"/>
    </row>
    <row r="205" spans="6:8">
      <c r="F205" s="35"/>
      <c r="G205" s="35"/>
      <c r="H205" s="35"/>
    </row>
    <row r="206" spans="6:8">
      <c r="F206" s="35"/>
      <c r="G206" s="35"/>
      <c r="H206" s="35"/>
    </row>
    <row r="207" spans="6:8">
      <c r="F207" s="35"/>
      <c r="G207" s="35"/>
      <c r="H207" s="35"/>
    </row>
    <row r="208" spans="6:8">
      <c r="F208" s="35"/>
      <c r="G208" s="35"/>
      <c r="H208" s="35"/>
    </row>
    <row r="209" spans="6:8">
      <c r="F209" s="35"/>
      <c r="G209" s="35"/>
      <c r="H209" s="35"/>
    </row>
    <row r="210" spans="6:8">
      <c r="F210" s="35"/>
      <c r="G210" s="35"/>
      <c r="H210" s="35"/>
    </row>
    <row r="211" spans="6:8">
      <c r="F211" s="35"/>
      <c r="G211" s="35"/>
      <c r="H211" s="35"/>
    </row>
    <row r="212" spans="6:8">
      <c r="F212" s="35"/>
      <c r="G212" s="35"/>
      <c r="H212" s="35"/>
    </row>
    <row r="213" spans="6:8">
      <c r="F213" s="35"/>
      <c r="G213" s="35"/>
      <c r="H213" s="35"/>
    </row>
    <row r="214" spans="6:8">
      <c r="F214" s="35"/>
      <c r="G214" s="35"/>
      <c r="H214" s="35"/>
    </row>
    <row r="215" spans="6:8">
      <c r="F215" s="35"/>
      <c r="G215" s="35"/>
      <c r="H215" s="35"/>
    </row>
    <row r="216" spans="6:8">
      <c r="F216" s="35"/>
      <c r="G216" s="35"/>
      <c r="H216" s="35"/>
    </row>
    <row r="217" spans="6:8">
      <c r="F217" s="35"/>
      <c r="G217" s="35"/>
      <c r="H217" s="35"/>
    </row>
    <row r="218" spans="6:8">
      <c r="F218" s="35"/>
      <c r="G218" s="35"/>
      <c r="H218" s="35"/>
    </row>
    <row r="219" spans="6:8">
      <c r="F219" s="35"/>
      <c r="G219" s="35"/>
      <c r="H219" s="35"/>
    </row>
    <row r="220" spans="6:8">
      <c r="F220" s="35"/>
      <c r="G220" s="35"/>
      <c r="H220" s="35"/>
    </row>
    <row r="221" spans="6:8">
      <c r="F221" s="35"/>
      <c r="G221" s="35"/>
      <c r="H221" s="35"/>
    </row>
    <row r="222" spans="6:8">
      <c r="F222" s="35"/>
      <c r="G222" s="35"/>
      <c r="H222" s="35"/>
    </row>
    <row r="223" spans="6:8">
      <c r="F223" s="35"/>
      <c r="G223" s="35"/>
      <c r="H223" s="35"/>
    </row>
    <row r="224" spans="6:8">
      <c r="F224" s="35"/>
      <c r="G224" s="35"/>
      <c r="H224" s="35"/>
    </row>
    <row r="225" spans="6:8">
      <c r="F225" s="35"/>
      <c r="G225" s="35"/>
      <c r="H225" s="35"/>
    </row>
    <row r="226" spans="6:8">
      <c r="F226" s="35"/>
      <c r="G226" s="35"/>
      <c r="H226" s="35"/>
    </row>
    <row r="227" spans="6:8">
      <c r="F227" s="35"/>
      <c r="G227" s="35"/>
      <c r="H227" s="35"/>
    </row>
    <row r="228" spans="6:8">
      <c r="F228" s="35"/>
      <c r="G228" s="35"/>
      <c r="H228" s="35"/>
    </row>
    <row r="229" spans="6:8">
      <c r="F229" s="35"/>
      <c r="G229" s="35"/>
      <c r="H229" s="35"/>
    </row>
    <row r="230" spans="6:8">
      <c r="F230" s="35"/>
      <c r="G230" s="35"/>
      <c r="H230" s="35"/>
    </row>
    <row r="231" spans="6:8">
      <c r="F231" s="35"/>
      <c r="G231" s="35"/>
      <c r="H231" s="35"/>
    </row>
    <row r="232" spans="6:8">
      <c r="F232" s="35"/>
      <c r="G232" s="35"/>
      <c r="H232" s="35"/>
    </row>
    <row r="233" spans="6:8">
      <c r="F233" s="35"/>
      <c r="G233" s="35"/>
      <c r="H233" s="35"/>
    </row>
    <row r="234" spans="6:8">
      <c r="F234" s="35"/>
      <c r="G234" s="35"/>
      <c r="H234" s="35"/>
    </row>
    <row r="235" spans="6:8">
      <c r="F235" s="35"/>
      <c r="G235" s="35"/>
      <c r="H235" s="35"/>
    </row>
    <row r="236" spans="6:8">
      <c r="F236" s="35"/>
      <c r="G236" s="35"/>
      <c r="H236" s="35"/>
    </row>
    <row r="237" spans="6:8">
      <c r="F237" s="35"/>
      <c r="G237" s="35"/>
      <c r="H237" s="35"/>
    </row>
    <row r="238" spans="6:8">
      <c r="F238" s="35"/>
      <c r="G238" s="35"/>
      <c r="H238" s="35"/>
    </row>
    <row r="239" spans="6:8">
      <c r="F239" s="35"/>
      <c r="G239" s="35"/>
      <c r="H239" s="35"/>
    </row>
    <row r="240" spans="6:8">
      <c r="F240" s="35"/>
      <c r="G240" s="35"/>
      <c r="H240" s="35"/>
    </row>
    <row r="241" spans="6:8">
      <c r="F241" s="35"/>
      <c r="G241" s="35"/>
      <c r="H241" s="35"/>
    </row>
    <row r="242" spans="6:8">
      <c r="F242" s="35"/>
      <c r="G242" s="35"/>
      <c r="H242" s="35"/>
    </row>
    <row r="243" spans="6:8">
      <c r="F243" s="35"/>
      <c r="G243" s="35"/>
      <c r="H243" s="35"/>
    </row>
    <row r="244" spans="6:8">
      <c r="F244" s="35"/>
      <c r="G244" s="35"/>
      <c r="H244" s="35"/>
    </row>
    <row r="245" spans="6:8">
      <c r="F245" s="35"/>
      <c r="G245" s="35"/>
      <c r="H245" s="35"/>
    </row>
    <row r="246" spans="6:8">
      <c r="F246" s="35"/>
      <c r="G246" s="35"/>
      <c r="H246" s="35"/>
    </row>
    <row r="247" spans="6:8">
      <c r="F247" s="35"/>
      <c r="G247" s="35"/>
      <c r="H247" s="35"/>
    </row>
    <row r="248" spans="6:8">
      <c r="F248" s="35"/>
      <c r="G248" s="35"/>
      <c r="H248" s="35"/>
    </row>
    <row r="249" spans="6:8">
      <c r="F249" s="35"/>
      <c r="G249" s="35"/>
      <c r="H249" s="35"/>
    </row>
    <row r="250" spans="6:8">
      <c r="F250" s="35"/>
      <c r="G250" s="35"/>
      <c r="H250" s="35"/>
    </row>
    <row r="251" spans="6:8">
      <c r="F251" s="35"/>
      <c r="G251" s="35"/>
      <c r="H251" s="35"/>
    </row>
    <row r="252" spans="6:8">
      <c r="F252" s="35"/>
      <c r="G252" s="35"/>
      <c r="H252" s="35"/>
    </row>
    <row r="253" spans="6:8">
      <c r="F253" s="35"/>
      <c r="G253" s="35"/>
      <c r="H253" s="35"/>
    </row>
    <row r="254" spans="6:8">
      <c r="F254" s="35"/>
      <c r="G254" s="35"/>
      <c r="H254" s="35"/>
    </row>
    <row r="255" spans="6:8">
      <c r="F255" s="35"/>
      <c r="G255" s="35"/>
      <c r="H255" s="35"/>
    </row>
    <row r="256" spans="6:8">
      <c r="F256" s="35"/>
      <c r="G256" s="35"/>
      <c r="H256" s="35"/>
    </row>
    <row r="257" spans="6:8">
      <c r="F257" s="35"/>
      <c r="G257" s="35"/>
      <c r="H257" s="35"/>
    </row>
    <row r="258" spans="6:8">
      <c r="F258" s="35"/>
      <c r="G258" s="35"/>
      <c r="H258" s="35"/>
    </row>
    <row r="259" spans="6:8">
      <c r="F259" s="35"/>
      <c r="G259" s="35"/>
      <c r="H259" s="35"/>
    </row>
    <row r="260" spans="6:8">
      <c r="F260" s="35"/>
      <c r="G260" s="35"/>
      <c r="H260" s="35"/>
    </row>
    <row r="261" spans="6:8">
      <c r="F261" s="35"/>
      <c r="G261" s="35"/>
      <c r="H261" s="35"/>
    </row>
    <row r="262" spans="6:8">
      <c r="F262" s="35"/>
      <c r="G262" s="35"/>
      <c r="H262" s="35"/>
    </row>
    <row r="263" spans="6:8">
      <c r="F263" s="35"/>
      <c r="G263" s="35"/>
      <c r="H263" s="35"/>
    </row>
    <row r="264" spans="6:8">
      <c r="F264" s="35"/>
      <c r="G264" s="35"/>
      <c r="H264" s="35"/>
    </row>
    <row r="265" spans="6:8">
      <c r="F265" s="35"/>
      <c r="G265" s="35"/>
      <c r="H265" s="35"/>
    </row>
    <row r="266" spans="6:8">
      <c r="F266" s="35"/>
      <c r="G266" s="35"/>
      <c r="H266" s="35"/>
    </row>
    <row r="267" spans="6:8">
      <c r="F267" s="35"/>
      <c r="G267" s="35"/>
      <c r="H267" s="35"/>
    </row>
    <row r="268" spans="6:8">
      <c r="F268" s="35"/>
      <c r="G268" s="35"/>
      <c r="H268" s="35"/>
    </row>
    <row r="269" spans="6:8">
      <c r="F269" s="35"/>
      <c r="G269" s="35"/>
      <c r="H269" s="35"/>
    </row>
    <row r="270" spans="6:8">
      <c r="F270" s="35"/>
      <c r="G270" s="35"/>
      <c r="H270" s="35"/>
    </row>
    <row r="271" spans="6:8">
      <c r="F271" s="35"/>
      <c r="G271" s="35"/>
      <c r="H271" s="35"/>
    </row>
    <row r="272" spans="6:8">
      <c r="F272" s="35"/>
      <c r="G272" s="35"/>
      <c r="H272" s="35"/>
    </row>
    <row r="273" spans="6:8">
      <c r="F273" s="35"/>
      <c r="G273" s="35"/>
      <c r="H273" s="35"/>
    </row>
    <row r="274" spans="6:8">
      <c r="F274" s="35"/>
      <c r="G274" s="35"/>
      <c r="H274" s="35"/>
    </row>
    <row r="275" spans="6:8">
      <c r="F275" s="35"/>
      <c r="G275" s="35"/>
      <c r="H275" s="35"/>
    </row>
    <row r="276" spans="6:8">
      <c r="F276" s="35"/>
      <c r="G276" s="35"/>
      <c r="H276" s="35"/>
    </row>
    <row r="277" spans="6:8">
      <c r="F277" s="35"/>
      <c r="G277" s="35"/>
      <c r="H277" s="35"/>
    </row>
    <row r="278" spans="6:8">
      <c r="F278" s="35"/>
      <c r="G278" s="35"/>
      <c r="H278" s="35"/>
    </row>
    <row r="279" spans="6:8">
      <c r="F279" s="35"/>
      <c r="G279" s="35"/>
      <c r="H279" s="35"/>
    </row>
    <row r="280" spans="6:8">
      <c r="F280" s="35"/>
      <c r="G280" s="35"/>
      <c r="H280" s="35"/>
    </row>
    <row r="281" spans="6:8">
      <c r="F281" s="35"/>
      <c r="G281" s="35"/>
      <c r="H281" s="35"/>
    </row>
    <row r="282" spans="6:8">
      <c r="F282" s="35"/>
      <c r="G282" s="35"/>
      <c r="H282" s="35"/>
    </row>
    <row r="283" spans="6:8">
      <c r="F283" s="35"/>
      <c r="G283" s="35"/>
      <c r="H283" s="35"/>
    </row>
    <row r="284" spans="6:8">
      <c r="F284" s="35"/>
      <c r="G284" s="35"/>
      <c r="H284" s="35"/>
    </row>
    <row r="285" spans="6:8">
      <c r="F285" s="35"/>
      <c r="G285" s="35"/>
      <c r="H285" s="35"/>
    </row>
    <row r="286" spans="6:8">
      <c r="F286" s="35"/>
      <c r="G286" s="35"/>
      <c r="H286" s="35"/>
    </row>
    <row r="287" spans="6:8">
      <c r="F287" s="35"/>
      <c r="G287" s="35"/>
      <c r="H287" s="35"/>
    </row>
    <row r="288" spans="6:8">
      <c r="F288" s="35"/>
      <c r="G288" s="35"/>
      <c r="H288" s="35"/>
    </row>
    <row r="289" spans="6:8">
      <c r="F289" s="35"/>
      <c r="G289" s="35"/>
      <c r="H289" s="35"/>
    </row>
    <row r="290" spans="6:8">
      <c r="F290" s="35"/>
      <c r="G290" s="35"/>
      <c r="H290" s="35"/>
    </row>
    <row r="291" spans="6:8">
      <c r="F291" s="35"/>
      <c r="G291" s="35"/>
      <c r="H291" s="35"/>
    </row>
    <row r="292" spans="6:8">
      <c r="F292" s="35"/>
      <c r="G292" s="35"/>
      <c r="H292" s="35"/>
    </row>
    <row r="293" spans="6:8">
      <c r="F293" s="35"/>
      <c r="G293" s="35"/>
      <c r="H293" s="35"/>
    </row>
    <row r="294" spans="6:8">
      <c r="F294" s="35"/>
      <c r="G294" s="35"/>
      <c r="H294" s="35"/>
    </row>
    <row r="295" spans="6:8">
      <c r="F295" s="35"/>
      <c r="G295" s="35"/>
      <c r="H295" s="35"/>
    </row>
    <row r="296" spans="6:8">
      <c r="F296" s="35"/>
      <c r="G296" s="35"/>
      <c r="H296" s="35"/>
    </row>
    <row r="297" spans="6:8">
      <c r="F297" s="35"/>
      <c r="G297" s="35"/>
      <c r="H297" s="35"/>
    </row>
    <row r="298" spans="6:8">
      <c r="F298" s="35"/>
      <c r="G298" s="35"/>
      <c r="H298" s="35"/>
    </row>
    <row r="299" spans="6:8">
      <c r="F299" s="35"/>
      <c r="G299" s="35"/>
      <c r="H299" s="35"/>
    </row>
    <row r="300" spans="6:8">
      <c r="F300" s="35"/>
      <c r="G300" s="35"/>
      <c r="H300" s="35"/>
    </row>
    <row r="301" spans="6:8">
      <c r="F301" s="35"/>
      <c r="G301" s="35"/>
      <c r="H301" s="35"/>
    </row>
    <row r="302" spans="6:8">
      <c r="F302" s="35"/>
      <c r="G302" s="35"/>
      <c r="H302" s="35"/>
    </row>
    <row r="303" spans="6:8">
      <c r="F303" s="35"/>
      <c r="G303" s="35"/>
      <c r="H303" s="35"/>
    </row>
    <row r="304" spans="6:8">
      <c r="F304" s="35"/>
      <c r="G304" s="35"/>
      <c r="H304" s="35"/>
    </row>
    <row r="305" spans="6:8">
      <c r="F305" s="35"/>
      <c r="G305" s="35"/>
      <c r="H305" s="35"/>
    </row>
    <row r="306" spans="6:8">
      <c r="F306" s="35"/>
      <c r="G306" s="35"/>
      <c r="H306" s="35"/>
    </row>
    <row r="307" spans="6:8">
      <c r="F307" s="35"/>
      <c r="G307" s="35"/>
      <c r="H307" s="35"/>
    </row>
    <row r="308" spans="6:8">
      <c r="F308" s="35"/>
      <c r="G308" s="35"/>
      <c r="H308" s="35"/>
    </row>
    <row r="309" spans="6:8">
      <c r="F309" s="35"/>
      <c r="G309" s="35"/>
      <c r="H309" s="35"/>
    </row>
    <row r="310" spans="6:8">
      <c r="F310" s="35"/>
      <c r="G310" s="35"/>
      <c r="H310" s="35"/>
    </row>
    <row r="311" spans="6:8">
      <c r="F311" s="35"/>
      <c r="G311" s="35"/>
      <c r="H311" s="35"/>
    </row>
    <row r="312" spans="6:8">
      <c r="F312" s="35"/>
      <c r="G312" s="35"/>
      <c r="H312" s="35"/>
    </row>
    <row r="313" spans="6:8">
      <c r="F313" s="35"/>
      <c r="G313" s="35"/>
      <c r="H313" s="35"/>
    </row>
    <row r="314" spans="6:8">
      <c r="F314" s="35"/>
      <c r="G314" s="35"/>
      <c r="H314" s="35"/>
    </row>
    <row r="315" spans="6:8">
      <c r="F315" s="35"/>
      <c r="G315" s="35"/>
      <c r="H315" s="35"/>
    </row>
    <row r="316" spans="6:8">
      <c r="F316" s="35"/>
      <c r="G316" s="35"/>
      <c r="H316" s="35"/>
    </row>
    <row r="317" spans="6:8">
      <c r="F317" s="35"/>
      <c r="G317" s="35"/>
      <c r="H317" s="35"/>
    </row>
    <row r="318" spans="6:8">
      <c r="F318" s="35"/>
      <c r="G318" s="35"/>
      <c r="H318" s="35"/>
    </row>
    <row r="319" spans="6:8">
      <c r="F319" s="35"/>
      <c r="G319" s="35"/>
      <c r="H319" s="35"/>
    </row>
    <row r="320" spans="6:8">
      <c r="F320" s="35"/>
      <c r="G320" s="35"/>
      <c r="H320" s="35"/>
    </row>
    <row r="321" spans="6:8">
      <c r="F321" s="35"/>
      <c r="G321" s="35"/>
      <c r="H321" s="35"/>
    </row>
    <row r="322" spans="6:8">
      <c r="F322" s="35"/>
      <c r="G322" s="35"/>
      <c r="H322" s="35"/>
    </row>
    <row r="323" spans="6:8">
      <c r="F323" s="35"/>
      <c r="G323" s="35"/>
      <c r="H323" s="35"/>
    </row>
    <row r="324" spans="6:8">
      <c r="F324" s="35"/>
      <c r="G324" s="35"/>
      <c r="H324" s="35"/>
    </row>
    <row r="325" spans="6:8">
      <c r="F325" s="35"/>
      <c r="G325" s="35"/>
      <c r="H325" s="35"/>
    </row>
    <row r="326" spans="6:8">
      <c r="F326" s="35"/>
      <c r="G326" s="35"/>
      <c r="H326" s="35"/>
    </row>
    <row r="327" spans="6:8">
      <c r="F327" s="35"/>
      <c r="G327" s="35"/>
      <c r="H327" s="35"/>
    </row>
    <row r="328" spans="6:8">
      <c r="F328" s="35"/>
      <c r="G328" s="35"/>
      <c r="H328" s="35"/>
    </row>
    <row r="329" spans="6:8">
      <c r="F329" s="35"/>
      <c r="G329" s="35"/>
      <c r="H329" s="35"/>
    </row>
    <row r="330" spans="6:8">
      <c r="F330" s="35"/>
      <c r="G330" s="35"/>
      <c r="H330" s="35"/>
    </row>
    <row r="331" spans="6:8">
      <c r="F331" s="35"/>
      <c r="G331" s="35"/>
      <c r="H331" s="35"/>
    </row>
    <row r="332" spans="6:8">
      <c r="F332" s="35"/>
      <c r="G332" s="35"/>
      <c r="H332" s="35"/>
    </row>
    <row r="333" spans="6:8">
      <c r="F333" s="35"/>
      <c r="G333" s="35"/>
      <c r="H333" s="35"/>
    </row>
    <row r="334" spans="6:8">
      <c r="F334" s="35"/>
      <c r="G334" s="35"/>
      <c r="H334" s="35"/>
    </row>
    <row r="335" spans="6:8">
      <c r="F335" s="35"/>
      <c r="G335" s="35"/>
      <c r="H335" s="35"/>
    </row>
    <row r="336" spans="6:8">
      <c r="F336" s="35"/>
      <c r="G336" s="35"/>
      <c r="H336" s="35"/>
    </row>
    <row r="337" spans="6:8">
      <c r="F337" s="35"/>
      <c r="G337" s="35"/>
      <c r="H337" s="35"/>
    </row>
    <row r="338" spans="6:8">
      <c r="F338" s="35"/>
      <c r="G338" s="35"/>
      <c r="H338" s="35"/>
    </row>
    <row r="339" spans="6:8">
      <c r="F339" s="35"/>
      <c r="G339" s="35"/>
      <c r="H339" s="35"/>
    </row>
    <row r="340" spans="6:8">
      <c r="F340" s="35"/>
      <c r="G340" s="35"/>
      <c r="H340" s="35"/>
    </row>
    <row r="341" spans="6:8">
      <c r="F341" s="35"/>
      <c r="G341" s="35"/>
      <c r="H341" s="35"/>
    </row>
    <row r="342" spans="6:8">
      <c r="F342" s="35"/>
      <c r="G342" s="35"/>
      <c r="H342" s="35"/>
    </row>
    <row r="343" spans="6:8">
      <c r="F343" s="35"/>
      <c r="G343" s="35"/>
      <c r="H343" s="35"/>
    </row>
    <row r="344" spans="6:8">
      <c r="F344" s="35"/>
      <c r="G344" s="35"/>
      <c r="H344" s="35"/>
    </row>
    <row r="345" spans="6:8">
      <c r="F345" s="35"/>
      <c r="G345" s="35"/>
      <c r="H345" s="35"/>
    </row>
    <row r="346" spans="6:8">
      <c r="F346" s="35"/>
      <c r="G346" s="35"/>
      <c r="H346" s="35"/>
    </row>
    <row r="347" spans="6:8">
      <c r="F347" s="35"/>
      <c r="G347" s="35"/>
      <c r="H347" s="35"/>
    </row>
    <row r="348" spans="6:8">
      <c r="F348" s="35"/>
      <c r="G348" s="35"/>
      <c r="H348" s="35"/>
    </row>
    <row r="349" spans="6:8">
      <c r="F349" s="35"/>
      <c r="G349" s="35"/>
      <c r="H349" s="35"/>
    </row>
    <row r="350" spans="6:8">
      <c r="F350" s="35"/>
      <c r="G350" s="35"/>
      <c r="H350" s="35"/>
    </row>
    <row r="351" spans="6:8">
      <c r="F351" s="35"/>
      <c r="G351" s="35"/>
      <c r="H351" s="35"/>
    </row>
    <row r="352" spans="6:8">
      <c r="F352" s="35"/>
      <c r="G352" s="35"/>
      <c r="H352" s="35"/>
    </row>
    <row r="353" spans="6:8">
      <c r="F353" s="35"/>
      <c r="G353" s="35"/>
      <c r="H353" s="35"/>
    </row>
    <row r="354" spans="6:8">
      <c r="F354" s="35"/>
      <c r="G354" s="35"/>
      <c r="H354" s="35"/>
    </row>
    <row r="355" spans="6:8">
      <c r="F355" s="35"/>
      <c r="G355" s="35"/>
      <c r="H355" s="35"/>
    </row>
    <row r="356" spans="6:8">
      <c r="F356" s="35"/>
      <c r="G356" s="35"/>
      <c r="H356" s="35"/>
    </row>
    <row r="357" spans="6:8">
      <c r="F357" s="35"/>
      <c r="G357" s="35"/>
      <c r="H357" s="35"/>
    </row>
    <row r="358" spans="6:8">
      <c r="F358" s="35"/>
      <c r="G358" s="35"/>
      <c r="H358" s="35"/>
    </row>
    <row r="359" spans="6:8">
      <c r="F359" s="35"/>
      <c r="G359" s="35"/>
      <c r="H359" s="35"/>
    </row>
    <row r="360" spans="6:8">
      <c r="F360" s="35"/>
      <c r="G360" s="35"/>
      <c r="H360" s="35"/>
    </row>
    <row r="361" spans="6:8">
      <c r="F361" s="35"/>
      <c r="G361" s="35"/>
      <c r="H361" s="35"/>
    </row>
    <row r="362" spans="6:8">
      <c r="F362" s="35"/>
      <c r="G362" s="35"/>
      <c r="H362" s="35"/>
    </row>
    <row r="363" spans="6:8">
      <c r="F363" s="35"/>
      <c r="G363" s="35"/>
      <c r="H363" s="35"/>
    </row>
    <row r="364" spans="6:8">
      <c r="F364" s="35"/>
      <c r="G364" s="35"/>
      <c r="H364" s="35"/>
    </row>
    <row r="365" spans="6:8">
      <c r="F365" s="35"/>
      <c r="G365" s="35"/>
      <c r="H365" s="35"/>
    </row>
    <row r="366" spans="6:8">
      <c r="F366" s="35"/>
      <c r="G366" s="35"/>
      <c r="H366" s="35"/>
    </row>
    <row r="367" spans="6:8">
      <c r="F367" s="35"/>
      <c r="G367" s="35"/>
      <c r="H367" s="35"/>
    </row>
    <row r="368" spans="6:8">
      <c r="F368" s="35"/>
      <c r="G368" s="35"/>
      <c r="H368" s="35"/>
    </row>
    <row r="369" spans="6:8">
      <c r="F369" s="35"/>
      <c r="G369" s="35"/>
      <c r="H369" s="35"/>
    </row>
    <row r="370" spans="6:8">
      <c r="F370" s="35"/>
      <c r="G370" s="35"/>
      <c r="H370" s="35"/>
    </row>
    <row r="371" spans="6:8">
      <c r="F371" s="35"/>
      <c r="G371" s="35"/>
      <c r="H371" s="35"/>
    </row>
    <row r="372" spans="6:8">
      <c r="F372" s="35"/>
      <c r="G372" s="35"/>
      <c r="H372" s="35"/>
    </row>
    <row r="373" spans="6:8">
      <c r="F373" s="35"/>
      <c r="G373" s="35"/>
      <c r="H373" s="35"/>
    </row>
    <row r="374" spans="6:8">
      <c r="F374" s="35"/>
      <c r="G374" s="35"/>
      <c r="H374" s="35"/>
    </row>
    <row r="375" spans="6:8">
      <c r="F375" s="35"/>
      <c r="G375" s="35"/>
      <c r="H375" s="35"/>
    </row>
    <row r="376" spans="6:8">
      <c r="F376" s="35"/>
      <c r="G376" s="35"/>
      <c r="H376" s="35"/>
    </row>
    <row r="377" spans="6:8">
      <c r="F377" s="35"/>
      <c r="G377" s="35"/>
      <c r="H377" s="35"/>
    </row>
    <row r="378" spans="6:8">
      <c r="F378" s="35"/>
      <c r="G378" s="35"/>
      <c r="H378" s="35"/>
    </row>
    <row r="379" spans="6:8">
      <c r="F379" s="35"/>
      <c r="G379" s="35"/>
      <c r="H379" s="35"/>
    </row>
    <row r="380" spans="6:8">
      <c r="F380" s="35"/>
      <c r="G380" s="35"/>
      <c r="H380" s="35"/>
    </row>
    <row r="381" spans="6:8">
      <c r="F381" s="35"/>
      <c r="G381" s="35"/>
      <c r="H381" s="35"/>
    </row>
    <row r="382" spans="6:8">
      <c r="F382" s="35"/>
      <c r="G382" s="35"/>
      <c r="H382" s="35"/>
    </row>
    <row r="383" spans="6:8">
      <c r="F383" s="35"/>
      <c r="G383" s="35"/>
      <c r="H383" s="35"/>
    </row>
    <row r="384" spans="6:8">
      <c r="F384" s="35"/>
      <c r="G384" s="35"/>
      <c r="H384" s="35"/>
    </row>
    <row r="385" spans="6:8">
      <c r="F385" s="35"/>
      <c r="G385" s="35"/>
      <c r="H385" s="35"/>
    </row>
    <row r="386" spans="6:8">
      <c r="F386" s="35"/>
      <c r="G386" s="35"/>
      <c r="H386" s="35"/>
    </row>
    <row r="387" spans="6:8">
      <c r="F387" s="35"/>
      <c r="G387" s="35"/>
      <c r="H387" s="35"/>
    </row>
    <row r="388" spans="6:8">
      <c r="F388" s="35"/>
      <c r="G388" s="35"/>
      <c r="H388" s="35"/>
    </row>
    <row r="389" spans="6:8">
      <c r="F389" s="35"/>
      <c r="G389" s="35"/>
      <c r="H389" s="35"/>
    </row>
    <row r="390" spans="6:8">
      <c r="F390" s="35"/>
      <c r="G390" s="35"/>
      <c r="H390" s="35"/>
    </row>
    <row r="391" spans="6:8">
      <c r="F391" s="35"/>
      <c r="G391" s="35"/>
      <c r="H391" s="35"/>
    </row>
    <row r="392" spans="6:8">
      <c r="F392" s="35"/>
      <c r="G392" s="35"/>
      <c r="H392" s="35"/>
    </row>
    <row r="393" spans="6:8">
      <c r="F393" s="35"/>
      <c r="G393" s="35"/>
      <c r="H393" s="35"/>
    </row>
    <row r="394" spans="6:8">
      <c r="F394" s="35"/>
      <c r="G394" s="35"/>
      <c r="H394" s="35"/>
    </row>
    <row r="395" spans="6:8">
      <c r="F395" s="35"/>
      <c r="G395" s="35"/>
      <c r="H395" s="35"/>
    </row>
    <row r="396" spans="6:8">
      <c r="F396" s="35"/>
      <c r="G396" s="35"/>
      <c r="H396" s="35"/>
    </row>
    <row r="397" spans="6:8">
      <c r="F397" s="35"/>
      <c r="G397" s="35"/>
      <c r="H397" s="35"/>
    </row>
    <row r="398" spans="6:8">
      <c r="F398" s="35"/>
      <c r="G398" s="35"/>
      <c r="H398" s="35"/>
    </row>
    <row r="399" spans="6:8">
      <c r="F399" s="35"/>
      <c r="G399" s="35"/>
      <c r="H399" s="35"/>
    </row>
    <row r="400" spans="6:8">
      <c r="F400" s="35"/>
      <c r="G400" s="35"/>
      <c r="H400" s="35"/>
    </row>
    <row r="401" spans="6:8">
      <c r="F401" s="35"/>
      <c r="G401" s="35"/>
      <c r="H401" s="35"/>
    </row>
    <row r="402" spans="6:8">
      <c r="F402" s="35"/>
      <c r="G402" s="35"/>
      <c r="H402" s="35"/>
    </row>
    <row r="403" spans="6:8">
      <c r="F403" s="35"/>
      <c r="G403" s="35"/>
      <c r="H403" s="35"/>
    </row>
    <row r="404" spans="6:8">
      <c r="F404" s="35"/>
      <c r="G404" s="35"/>
      <c r="H404" s="35"/>
    </row>
    <row r="405" spans="6:8">
      <c r="F405" s="35"/>
      <c r="G405" s="35"/>
      <c r="H405" s="35"/>
    </row>
    <row r="406" spans="6:8">
      <c r="F406" s="35"/>
      <c r="G406" s="35"/>
      <c r="H406" s="35"/>
    </row>
    <row r="407" spans="6:8">
      <c r="F407" s="35"/>
      <c r="G407" s="35"/>
      <c r="H407" s="35"/>
    </row>
    <row r="408" spans="6:8">
      <c r="F408" s="35"/>
      <c r="G408" s="35"/>
      <c r="H408" s="35"/>
    </row>
    <row r="409" spans="6:8">
      <c r="F409" s="35"/>
      <c r="G409" s="35"/>
      <c r="H409" s="35"/>
    </row>
    <row r="410" spans="6:8">
      <c r="F410" s="35"/>
      <c r="G410" s="35"/>
      <c r="H410" s="35"/>
    </row>
    <row r="411" spans="6:8">
      <c r="F411" s="35"/>
      <c r="G411" s="35"/>
      <c r="H411" s="35"/>
    </row>
    <row r="412" spans="6:8">
      <c r="F412" s="35"/>
      <c r="G412" s="35"/>
      <c r="H412" s="35"/>
    </row>
    <row r="413" spans="6:8">
      <c r="F413" s="35"/>
      <c r="G413" s="35"/>
      <c r="H413" s="35"/>
    </row>
    <row r="414" spans="6:8">
      <c r="F414" s="35"/>
      <c r="G414" s="35"/>
      <c r="H414" s="35"/>
    </row>
    <row r="415" spans="6:8">
      <c r="F415" s="35"/>
      <c r="G415" s="35"/>
      <c r="H415" s="35"/>
    </row>
    <row r="416" spans="6:8">
      <c r="F416" s="35"/>
      <c r="G416" s="35"/>
      <c r="H416" s="35"/>
    </row>
    <row r="417" spans="6:8">
      <c r="F417" s="35"/>
      <c r="G417" s="35"/>
      <c r="H417" s="35"/>
    </row>
    <row r="418" spans="6:8">
      <c r="F418" s="35"/>
      <c r="G418" s="35"/>
      <c r="H418" s="35"/>
    </row>
    <row r="419" spans="6:8">
      <c r="F419" s="35"/>
      <c r="G419" s="35"/>
      <c r="H419" s="35"/>
    </row>
    <row r="420" spans="6:8">
      <c r="F420" s="35"/>
      <c r="G420" s="35"/>
      <c r="H420" s="35"/>
    </row>
    <row r="421" spans="6:8">
      <c r="F421" s="35"/>
      <c r="G421" s="35"/>
      <c r="H421" s="35"/>
    </row>
    <row r="422" spans="6:8">
      <c r="F422" s="35"/>
      <c r="G422" s="35"/>
      <c r="H422" s="35"/>
    </row>
    <row r="423" spans="6:8">
      <c r="F423" s="35"/>
      <c r="G423" s="35"/>
      <c r="H423" s="35"/>
    </row>
    <row r="424" spans="6:8">
      <c r="F424" s="35"/>
      <c r="G424" s="35"/>
      <c r="H424" s="35"/>
    </row>
    <row r="425" spans="6:8">
      <c r="F425" s="35"/>
      <c r="G425" s="35"/>
      <c r="H425" s="35"/>
    </row>
    <row r="426" spans="6:8">
      <c r="F426" s="35"/>
      <c r="G426" s="35"/>
      <c r="H426" s="35"/>
    </row>
    <row r="427" spans="6:8">
      <c r="F427" s="35"/>
      <c r="G427" s="35"/>
      <c r="H427" s="35"/>
    </row>
    <row r="428" spans="6:8">
      <c r="F428" s="35"/>
      <c r="G428" s="35"/>
      <c r="H428" s="35"/>
    </row>
    <row r="429" spans="6:8">
      <c r="F429" s="35"/>
      <c r="G429" s="35"/>
      <c r="H429" s="35"/>
    </row>
    <row r="430" spans="6:8">
      <c r="F430" s="35"/>
      <c r="G430" s="35"/>
      <c r="H430" s="35"/>
    </row>
    <row r="431" spans="6:8">
      <c r="F431" s="35"/>
      <c r="G431" s="35"/>
      <c r="H431" s="35"/>
    </row>
    <row r="432" spans="6:8">
      <c r="F432" s="35"/>
      <c r="G432" s="35"/>
      <c r="H432" s="35"/>
    </row>
    <row r="433" spans="6:8">
      <c r="F433" s="35"/>
      <c r="G433" s="35"/>
      <c r="H433" s="35"/>
    </row>
    <row r="434" spans="6:8">
      <c r="F434" s="35"/>
      <c r="G434" s="35"/>
      <c r="H434" s="35"/>
    </row>
    <row r="435" spans="6:8">
      <c r="F435" s="35"/>
      <c r="G435" s="35"/>
      <c r="H435" s="35"/>
    </row>
    <row r="436" spans="6:8">
      <c r="F436" s="35"/>
      <c r="G436" s="35"/>
      <c r="H436" s="35"/>
    </row>
    <row r="437" spans="6:8">
      <c r="F437" s="35"/>
      <c r="G437" s="35"/>
      <c r="H437" s="35"/>
    </row>
    <row r="438" spans="6:8">
      <c r="F438" s="35"/>
      <c r="G438" s="35"/>
      <c r="H438" s="35"/>
    </row>
    <row r="439" spans="6:8">
      <c r="F439" s="35"/>
      <c r="G439" s="35"/>
      <c r="H439" s="35"/>
    </row>
    <row r="440" spans="6:8">
      <c r="F440" s="35"/>
      <c r="G440" s="35"/>
      <c r="H440" s="35"/>
    </row>
    <row r="441" spans="6:8">
      <c r="F441" s="35"/>
      <c r="G441" s="35"/>
      <c r="H441" s="35"/>
    </row>
    <row r="442" spans="6:8">
      <c r="F442" s="35"/>
      <c r="G442" s="35"/>
      <c r="H442" s="35"/>
    </row>
    <row r="443" spans="6:8">
      <c r="F443" s="35"/>
      <c r="G443" s="35"/>
      <c r="H443" s="35"/>
    </row>
    <row r="444" spans="6:8">
      <c r="F444" s="35"/>
      <c r="G444" s="35"/>
      <c r="H444" s="35"/>
    </row>
    <row r="445" spans="6:8">
      <c r="F445" s="35"/>
      <c r="G445" s="35"/>
      <c r="H445" s="35"/>
    </row>
    <row r="446" spans="6:8">
      <c r="F446" s="35"/>
      <c r="G446" s="35"/>
      <c r="H446" s="35"/>
    </row>
    <row r="447" spans="6:8">
      <c r="F447" s="35"/>
      <c r="G447" s="35"/>
      <c r="H447" s="35"/>
    </row>
    <row r="448" spans="6:8">
      <c r="F448" s="35"/>
      <c r="G448" s="35"/>
      <c r="H448" s="35"/>
    </row>
    <row r="449" spans="6:8">
      <c r="F449" s="35"/>
      <c r="G449" s="35"/>
      <c r="H449" s="35"/>
    </row>
    <row r="450" spans="6:8">
      <c r="F450" s="35"/>
      <c r="G450" s="35"/>
      <c r="H450" s="35"/>
    </row>
    <row r="451" spans="6:8">
      <c r="F451" s="35"/>
      <c r="G451" s="35"/>
      <c r="H451" s="35"/>
    </row>
    <row r="452" spans="6:8">
      <c r="F452" s="35"/>
      <c r="G452" s="35"/>
      <c r="H452" s="35"/>
    </row>
    <row r="453" spans="6:8">
      <c r="F453" s="35"/>
      <c r="G453" s="35"/>
      <c r="H453" s="35"/>
    </row>
    <row r="454" spans="6:8">
      <c r="F454" s="35"/>
      <c r="G454" s="35"/>
      <c r="H454" s="35"/>
    </row>
    <row r="455" spans="6:8">
      <c r="F455" s="35"/>
      <c r="G455" s="35"/>
      <c r="H455" s="35"/>
    </row>
    <row r="456" spans="6:8">
      <c r="F456" s="35"/>
      <c r="G456" s="35"/>
      <c r="H456" s="35"/>
    </row>
    <row r="457" spans="6:8">
      <c r="F457" s="35"/>
      <c r="G457" s="35"/>
      <c r="H457" s="35"/>
    </row>
    <row r="458" spans="6:8">
      <c r="F458" s="35"/>
      <c r="G458" s="35"/>
      <c r="H458" s="35"/>
    </row>
    <row r="459" spans="6:8">
      <c r="F459" s="35"/>
      <c r="G459" s="35"/>
      <c r="H459" s="35"/>
    </row>
    <row r="460" spans="6:8">
      <c r="F460" s="35"/>
      <c r="G460" s="35"/>
      <c r="H460" s="35"/>
    </row>
    <row r="461" spans="6:8">
      <c r="F461" s="35"/>
      <c r="G461" s="35"/>
      <c r="H461" s="35"/>
    </row>
    <row r="462" spans="6:8">
      <c r="F462" s="35"/>
      <c r="G462" s="35"/>
      <c r="H462" s="35"/>
    </row>
    <row r="463" spans="6:8">
      <c r="F463" s="35"/>
      <c r="G463" s="35"/>
      <c r="H463" s="35"/>
    </row>
    <row r="464" spans="6:8">
      <c r="F464" s="35"/>
      <c r="G464" s="35"/>
      <c r="H464" s="35"/>
    </row>
    <row r="465" spans="6:8">
      <c r="F465" s="35"/>
      <c r="G465" s="35"/>
      <c r="H465" s="35"/>
    </row>
    <row r="466" spans="6:8">
      <c r="F466" s="35"/>
      <c r="G466" s="35"/>
      <c r="H466" s="35"/>
    </row>
    <row r="467" spans="6:8">
      <c r="F467" s="35"/>
      <c r="G467" s="35"/>
      <c r="H467" s="35"/>
    </row>
    <row r="468" spans="6:8">
      <c r="F468" s="35"/>
      <c r="G468" s="35"/>
      <c r="H468" s="35"/>
    </row>
    <row r="469" spans="6:8">
      <c r="F469" s="35"/>
      <c r="G469" s="35"/>
      <c r="H469" s="35"/>
    </row>
    <row r="470" spans="6:8">
      <c r="F470" s="35"/>
      <c r="G470" s="35"/>
      <c r="H470" s="35"/>
    </row>
    <row r="471" spans="6:8">
      <c r="F471" s="35"/>
      <c r="G471" s="35"/>
      <c r="H471" s="35"/>
    </row>
    <row r="472" spans="6:8">
      <c r="F472" s="35"/>
      <c r="G472" s="35"/>
      <c r="H472" s="35"/>
    </row>
    <row r="473" spans="6:8">
      <c r="F473" s="35"/>
      <c r="G473" s="35"/>
      <c r="H473" s="35"/>
    </row>
    <row r="474" spans="6:8">
      <c r="F474" s="35"/>
      <c r="G474" s="35"/>
      <c r="H474" s="35"/>
    </row>
    <row r="475" spans="6:8">
      <c r="F475" s="35"/>
      <c r="G475" s="35"/>
      <c r="H475" s="35"/>
    </row>
    <row r="476" spans="6:8">
      <c r="F476" s="35"/>
      <c r="G476" s="35"/>
      <c r="H476" s="35"/>
    </row>
    <row r="477" spans="6:8">
      <c r="F477" s="35"/>
      <c r="G477" s="35"/>
      <c r="H477" s="35"/>
    </row>
    <row r="478" spans="6:8">
      <c r="F478" s="35"/>
      <c r="G478" s="35"/>
      <c r="H478" s="35"/>
    </row>
    <row r="479" spans="6:8">
      <c r="F479" s="35"/>
      <c r="G479" s="35"/>
      <c r="H479" s="35"/>
    </row>
    <row r="480" spans="6:8">
      <c r="F480" s="35"/>
      <c r="G480" s="35"/>
      <c r="H480" s="35"/>
    </row>
    <row r="481" spans="6:8">
      <c r="F481" s="35"/>
      <c r="G481" s="35"/>
      <c r="H481" s="35"/>
    </row>
    <row r="482" spans="6:8">
      <c r="F482" s="35"/>
      <c r="G482" s="35"/>
      <c r="H482" s="35"/>
    </row>
    <row r="483" spans="6:8">
      <c r="F483" s="35"/>
      <c r="G483" s="35"/>
      <c r="H483" s="35"/>
    </row>
    <row r="484" spans="6:8">
      <c r="F484" s="35"/>
      <c r="G484" s="35"/>
      <c r="H484" s="35"/>
    </row>
    <row r="485" spans="6:8">
      <c r="F485" s="35"/>
      <c r="G485" s="35"/>
      <c r="H485" s="35"/>
    </row>
    <row r="486" spans="6:8">
      <c r="F486" s="35"/>
      <c r="G486" s="35"/>
      <c r="H486" s="35"/>
    </row>
    <row r="487" spans="6:8">
      <c r="F487" s="35"/>
      <c r="G487" s="35"/>
      <c r="H487" s="35"/>
    </row>
    <row r="488" spans="6:8">
      <c r="F488" s="35"/>
      <c r="G488" s="35"/>
      <c r="H488" s="35"/>
    </row>
    <row r="489" spans="6:8">
      <c r="F489" s="35"/>
      <c r="G489" s="35"/>
      <c r="H489" s="35"/>
    </row>
    <row r="490" spans="6:8">
      <c r="F490" s="35"/>
      <c r="G490" s="35"/>
      <c r="H490" s="35"/>
    </row>
    <row r="491" spans="6:8">
      <c r="F491" s="35"/>
      <c r="G491" s="35"/>
      <c r="H491" s="35"/>
    </row>
    <row r="492" spans="6:8">
      <c r="F492" s="35"/>
      <c r="G492" s="35"/>
      <c r="H492" s="35"/>
    </row>
    <row r="493" spans="6:8">
      <c r="F493" s="35"/>
      <c r="G493" s="35"/>
      <c r="H493" s="35"/>
    </row>
    <row r="494" spans="6:8">
      <c r="F494" s="35"/>
      <c r="G494" s="35"/>
      <c r="H494" s="35"/>
    </row>
    <row r="495" spans="6:8">
      <c r="F495" s="35"/>
      <c r="G495" s="35"/>
      <c r="H495" s="35"/>
    </row>
    <row r="496" spans="6:8">
      <c r="F496" s="35"/>
      <c r="G496" s="35"/>
      <c r="H496" s="35"/>
    </row>
    <row r="497" spans="6:8">
      <c r="F497" s="35"/>
      <c r="G497" s="35"/>
      <c r="H497" s="35"/>
    </row>
    <row r="498" spans="6:8">
      <c r="F498" s="35"/>
      <c r="G498" s="35"/>
      <c r="H498" s="35"/>
    </row>
    <row r="499" spans="6:8">
      <c r="F499" s="35"/>
      <c r="G499" s="35"/>
      <c r="H499" s="35"/>
    </row>
    <row r="500" spans="6:8">
      <c r="F500" s="35"/>
      <c r="G500" s="35"/>
      <c r="H500" s="35"/>
    </row>
    <row r="501" spans="6:8">
      <c r="F501" s="35"/>
      <c r="G501" s="35"/>
      <c r="H501" s="35"/>
    </row>
    <row r="502" spans="6:8">
      <c r="F502" s="35"/>
      <c r="G502" s="35"/>
      <c r="H502" s="35"/>
    </row>
    <row r="503" spans="6:8">
      <c r="F503" s="35"/>
      <c r="G503" s="35"/>
      <c r="H503" s="35"/>
    </row>
    <row r="504" spans="6:8">
      <c r="F504" s="35"/>
      <c r="G504" s="35"/>
      <c r="H504" s="35"/>
    </row>
    <row r="505" spans="6:8">
      <c r="F505" s="35"/>
      <c r="G505" s="35"/>
      <c r="H505" s="35"/>
    </row>
    <row r="506" spans="6:8">
      <c r="F506" s="35"/>
      <c r="G506" s="35"/>
      <c r="H506" s="35"/>
    </row>
    <row r="507" spans="6:8">
      <c r="F507" s="35"/>
      <c r="G507" s="35"/>
      <c r="H507" s="35"/>
    </row>
    <row r="508" spans="6:8">
      <c r="F508" s="35"/>
      <c r="G508" s="35"/>
      <c r="H508" s="35"/>
    </row>
    <row r="509" spans="6:8">
      <c r="F509" s="35"/>
      <c r="G509" s="35"/>
      <c r="H509" s="35"/>
    </row>
    <row r="510" spans="6:8">
      <c r="F510" s="35"/>
      <c r="G510" s="35"/>
      <c r="H510" s="35"/>
    </row>
    <row r="511" spans="6:8">
      <c r="F511" s="35"/>
      <c r="G511" s="35"/>
      <c r="H511" s="35"/>
    </row>
    <row r="512" spans="6:8">
      <c r="F512" s="35"/>
      <c r="G512" s="35"/>
      <c r="H512" s="35"/>
    </row>
    <row r="513" spans="6:8">
      <c r="F513" s="35"/>
      <c r="G513" s="35"/>
      <c r="H513" s="35"/>
    </row>
    <row r="514" spans="6:8">
      <c r="F514" s="35"/>
      <c r="G514" s="35"/>
      <c r="H514" s="35"/>
    </row>
    <row r="515" spans="6:8">
      <c r="F515" s="35"/>
      <c r="G515" s="35"/>
      <c r="H515" s="35"/>
    </row>
    <row r="516" spans="6:8">
      <c r="F516" s="35"/>
      <c r="G516" s="35"/>
      <c r="H516" s="35"/>
    </row>
    <row r="517" spans="6:8">
      <c r="F517" s="35"/>
      <c r="G517" s="35"/>
      <c r="H517" s="35"/>
    </row>
    <row r="518" spans="6:8">
      <c r="F518" s="35"/>
      <c r="G518" s="35"/>
      <c r="H518" s="35"/>
    </row>
    <row r="519" spans="6:8">
      <c r="F519" s="35"/>
      <c r="G519" s="35"/>
      <c r="H519" s="35"/>
    </row>
    <row r="520" spans="6:8">
      <c r="F520" s="35"/>
      <c r="G520" s="35"/>
      <c r="H520" s="35"/>
    </row>
    <row r="521" spans="6:8">
      <c r="F521" s="35"/>
      <c r="G521" s="35"/>
      <c r="H521" s="35"/>
    </row>
    <row r="522" spans="6:8">
      <c r="F522" s="35"/>
      <c r="G522" s="35"/>
      <c r="H522" s="35"/>
    </row>
    <row r="523" spans="6:8">
      <c r="F523" s="35"/>
      <c r="G523" s="35"/>
      <c r="H523" s="35"/>
    </row>
    <row r="524" spans="6:8">
      <c r="F524" s="35"/>
      <c r="G524" s="35"/>
      <c r="H524" s="35"/>
    </row>
    <row r="525" spans="6:8">
      <c r="F525" s="35"/>
      <c r="G525" s="35"/>
      <c r="H525" s="35"/>
    </row>
    <row r="526" spans="6:8">
      <c r="F526" s="35"/>
      <c r="G526" s="35"/>
      <c r="H526" s="35"/>
    </row>
    <row r="527" spans="6:8">
      <c r="F527" s="35"/>
      <c r="G527" s="35"/>
      <c r="H527" s="35"/>
    </row>
    <row r="528" spans="6:8">
      <c r="F528" s="35"/>
      <c r="G528" s="35"/>
      <c r="H528" s="35"/>
    </row>
    <row r="529" spans="6:8">
      <c r="F529" s="35"/>
      <c r="G529" s="35"/>
      <c r="H529" s="35"/>
    </row>
    <row r="530" spans="6:8">
      <c r="F530" s="35"/>
      <c r="G530" s="35"/>
      <c r="H530" s="35"/>
    </row>
    <row r="531" spans="6:8">
      <c r="F531" s="35"/>
      <c r="G531" s="35"/>
      <c r="H531" s="35"/>
    </row>
    <row r="532" spans="6:8">
      <c r="F532" s="35"/>
      <c r="G532" s="35"/>
      <c r="H532" s="35"/>
    </row>
    <row r="533" spans="6:8">
      <c r="F533" s="35"/>
      <c r="G533" s="35"/>
      <c r="H533" s="35"/>
    </row>
    <row r="534" spans="6:8">
      <c r="F534" s="35"/>
      <c r="G534" s="35"/>
      <c r="H534" s="35"/>
    </row>
    <row r="535" spans="6:8">
      <c r="F535" s="35"/>
      <c r="G535" s="35"/>
      <c r="H535" s="35"/>
    </row>
    <row r="536" spans="6:8">
      <c r="F536" s="35"/>
      <c r="G536" s="35"/>
      <c r="H536" s="35"/>
    </row>
    <row r="537" spans="6:8">
      <c r="F537" s="35"/>
      <c r="G537" s="35"/>
      <c r="H537" s="35"/>
    </row>
    <row r="538" spans="6:8">
      <c r="F538" s="35"/>
      <c r="G538" s="35"/>
      <c r="H538" s="35"/>
    </row>
    <row r="539" spans="6:8">
      <c r="F539" s="35"/>
      <c r="G539" s="35"/>
      <c r="H539" s="35"/>
    </row>
    <row r="540" spans="6:8">
      <c r="F540" s="35"/>
      <c r="G540" s="35"/>
      <c r="H540" s="35"/>
    </row>
    <row r="541" spans="6:8">
      <c r="F541" s="35"/>
      <c r="G541" s="35"/>
      <c r="H541" s="35"/>
    </row>
    <row r="542" spans="6:8">
      <c r="F542" s="35"/>
      <c r="G542" s="35"/>
      <c r="H542" s="35"/>
    </row>
    <row r="543" spans="6:8">
      <c r="F543" s="35"/>
      <c r="G543" s="35"/>
      <c r="H543" s="35"/>
    </row>
    <row r="544" spans="6:8">
      <c r="F544" s="35"/>
      <c r="G544" s="35"/>
      <c r="H544" s="35"/>
    </row>
    <row r="545" spans="6:8">
      <c r="F545" s="35"/>
      <c r="G545" s="35"/>
      <c r="H545" s="35"/>
    </row>
    <row r="546" spans="6:8">
      <c r="F546" s="35"/>
      <c r="G546" s="35"/>
      <c r="H546" s="35"/>
    </row>
    <row r="547" spans="6:8">
      <c r="F547" s="35"/>
      <c r="G547" s="35"/>
      <c r="H547" s="35"/>
    </row>
    <row r="548" spans="6:8">
      <c r="F548" s="35"/>
      <c r="G548" s="35"/>
      <c r="H548" s="35"/>
    </row>
    <row r="549" spans="6:8">
      <c r="F549" s="35"/>
      <c r="G549" s="35"/>
      <c r="H549" s="35"/>
    </row>
    <row r="550" spans="6:8">
      <c r="F550" s="35"/>
      <c r="G550" s="35"/>
      <c r="H550" s="35"/>
    </row>
    <row r="551" spans="6:8">
      <c r="F551" s="35"/>
      <c r="G551" s="35"/>
      <c r="H551" s="35"/>
    </row>
    <row r="552" spans="6:8">
      <c r="F552" s="35"/>
      <c r="G552" s="35"/>
      <c r="H552" s="35"/>
    </row>
    <row r="553" spans="6:8">
      <c r="F553" s="35"/>
      <c r="G553" s="35"/>
      <c r="H553" s="35"/>
    </row>
    <row r="554" spans="6:8">
      <c r="F554" s="35"/>
      <c r="G554" s="35"/>
      <c r="H554" s="35"/>
    </row>
    <row r="555" spans="6:8">
      <c r="F555" s="35"/>
      <c r="G555" s="35"/>
      <c r="H555" s="35"/>
    </row>
    <row r="556" spans="6:8">
      <c r="F556" s="35"/>
      <c r="G556" s="35"/>
      <c r="H556" s="35"/>
    </row>
    <row r="557" spans="6:8">
      <c r="F557" s="35"/>
      <c r="G557" s="35"/>
      <c r="H557" s="35"/>
    </row>
    <row r="558" spans="6:8">
      <c r="F558" s="35"/>
      <c r="G558" s="35"/>
      <c r="H558" s="35"/>
    </row>
    <row r="559" spans="6:8">
      <c r="F559" s="35"/>
      <c r="G559" s="35"/>
      <c r="H559" s="35"/>
    </row>
    <row r="560" spans="6:8">
      <c r="F560" s="35"/>
      <c r="G560" s="35"/>
      <c r="H560" s="35"/>
    </row>
    <row r="561" spans="6:8">
      <c r="F561" s="35"/>
      <c r="G561" s="35"/>
      <c r="H561" s="35"/>
    </row>
    <row r="562" spans="6:8">
      <c r="F562" s="35"/>
      <c r="G562" s="35"/>
      <c r="H562" s="35"/>
    </row>
    <row r="563" spans="6:8">
      <c r="F563" s="35"/>
      <c r="G563" s="35"/>
      <c r="H563" s="35"/>
    </row>
    <row r="564" spans="6:8">
      <c r="F564" s="35"/>
      <c r="G564" s="35"/>
      <c r="H564" s="35"/>
    </row>
    <row r="565" spans="6:8">
      <c r="F565" s="35"/>
      <c r="G565" s="35"/>
      <c r="H565" s="35"/>
    </row>
    <row r="566" spans="6:8">
      <c r="F566" s="35"/>
      <c r="G566" s="35"/>
      <c r="H566" s="35"/>
    </row>
    <row r="567" spans="6:8">
      <c r="F567" s="35"/>
      <c r="G567" s="35"/>
      <c r="H567" s="35"/>
    </row>
    <row r="568" spans="6:8">
      <c r="F568" s="35"/>
      <c r="G568" s="35"/>
      <c r="H568" s="35"/>
    </row>
    <row r="569" spans="6:8">
      <c r="F569" s="35"/>
      <c r="G569" s="35"/>
      <c r="H569" s="35"/>
    </row>
    <row r="570" spans="6:8">
      <c r="F570" s="35"/>
      <c r="G570" s="35"/>
      <c r="H570" s="35"/>
    </row>
    <row r="571" spans="6:8">
      <c r="F571" s="35"/>
      <c r="G571" s="35"/>
      <c r="H571" s="35"/>
    </row>
    <row r="572" spans="6:8">
      <c r="F572" s="35"/>
      <c r="G572" s="35"/>
      <c r="H572" s="35"/>
    </row>
    <row r="573" spans="6:8">
      <c r="F573" s="35"/>
      <c r="G573" s="35"/>
      <c r="H573" s="35"/>
    </row>
    <row r="574" spans="6:8">
      <c r="F574" s="35"/>
      <c r="G574" s="35"/>
      <c r="H574" s="35"/>
    </row>
    <row r="575" spans="6:8">
      <c r="F575" s="35"/>
      <c r="G575" s="35"/>
      <c r="H575" s="35"/>
    </row>
    <row r="576" spans="6:8">
      <c r="F576" s="35"/>
      <c r="G576" s="35"/>
      <c r="H576" s="35"/>
    </row>
    <row r="577" spans="6:8">
      <c r="F577" s="35"/>
      <c r="G577" s="35"/>
      <c r="H577" s="35"/>
    </row>
    <row r="578" spans="6:8">
      <c r="F578" s="35"/>
      <c r="G578" s="35"/>
      <c r="H578" s="35"/>
    </row>
    <row r="579" spans="6:8">
      <c r="F579" s="35"/>
      <c r="G579" s="35"/>
      <c r="H579" s="35"/>
    </row>
    <row r="580" spans="6:8">
      <c r="F580" s="35"/>
      <c r="G580" s="35"/>
      <c r="H580" s="35"/>
    </row>
    <row r="581" spans="6:8">
      <c r="F581" s="35"/>
      <c r="G581" s="35"/>
      <c r="H581" s="35"/>
    </row>
    <row r="582" spans="6:8">
      <c r="F582" s="35"/>
      <c r="G582" s="35"/>
      <c r="H582" s="35"/>
    </row>
    <row r="583" spans="6:8">
      <c r="F583" s="35"/>
      <c r="G583" s="35"/>
      <c r="H583" s="35"/>
    </row>
    <row r="584" spans="6:8">
      <c r="F584" s="35"/>
      <c r="G584" s="35"/>
      <c r="H584" s="35"/>
    </row>
    <row r="585" spans="6:8">
      <c r="F585" s="35"/>
      <c r="G585" s="35"/>
      <c r="H585" s="35"/>
    </row>
    <row r="586" spans="6:8">
      <c r="F586" s="35"/>
      <c r="G586" s="35"/>
      <c r="H586" s="35"/>
    </row>
    <row r="587" spans="6:8">
      <c r="F587" s="35"/>
      <c r="G587" s="35"/>
      <c r="H587" s="35"/>
    </row>
    <row r="588" spans="6:8">
      <c r="F588" s="35"/>
      <c r="G588" s="35"/>
      <c r="H588" s="35"/>
    </row>
    <row r="589" spans="6:8">
      <c r="F589" s="35"/>
      <c r="G589" s="35"/>
      <c r="H589" s="35"/>
    </row>
    <row r="590" spans="6:8">
      <c r="F590" s="35"/>
      <c r="G590" s="35"/>
      <c r="H590" s="35"/>
    </row>
    <row r="591" spans="6:8">
      <c r="F591" s="35"/>
      <c r="G591" s="35"/>
      <c r="H591" s="35"/>
    </row>
    <row r="592" spans="6:8">
      <c r="F592" s="35"/>
      <c r="G592" s="35"/>
      <c r="H592" s="35"/>
    </row>
    <row r="593" spans="6:8">
      <c r="F593" s="35"/>
      <c r="G593" s="35"/>
      <c r="H593" s="35"/>
    </row>
    <row r="594" spans="6:8">
      <c r="F594" s="35"/>
      <c r="G594" s="35"/>
      <c r="H594" s="35"/>
    </row>
    <row r="595" spans="6:8">
      <c r="F595" s="35"/>
      <c r="G595" s="35"/>
      <c r="H595" s="35"/>
    </row>
    <row r="596" spans="6:8">
      <c r="F596" s="35"/>
      <c r="G596" s="35"/>
      <c r="H596" s="35"/>
    </row>
    <row r="597" spans="6:8">
      <c r="F597" s="35"/>
      <c r="G597" s="35"/>
      <c r="H597" s="35"/>
    </row>
    <row r="598" spans="6:8">
      <c r="F598" s="35"/>
      <c r="G598" s="35"/>
      <c r="H598" s="35"/>
    </row>
    <row r="599" spans="6:8">
      <c r="F599" s="35"/>
      <c r="G599" s="35"/>
      <c r="H599" s="35"/>
    </row>
    <row r="600" spans="6:8">
      <c r="F600" s="35"/>
      <c r="G600" s="35"/>
      <c r="H600" s="35"/>
    </row>
    <row r="601" spans="6:8">
      <c r="F601" s="35"/>
      <c r="G601" s="35"/>
      <c r="H601" s="35"/>
    </row>
    <row r="602" spans="6:8">
      <c r="F602" s="35"/>
      <c r="G602" s="35"/>
      <c r="H602" s="35"/>
    </row>
    <row r="603" spans="6:8">
      <c r="F603" s="35"/>
      <c r="G603" s="35"/>
      <c r="H603" s="35"/>
    </row>
    <row r="604" spans="6:8">
      <c r="F604" s="35"/>
      <c r="G604" s="35"/>
      <c r="H604" s="35"/>
    </row>
    <row r="605" spans="6:8">
      <c r="F605" s="35"/>
      <c r="G605" s="35"/>
      <c r="H605" s="35"/>
    </row>
    <row r="606" spans="6:8">
      <c r="F606" s="35"/>
      <c r="G606" s="35"/>
      <c r="H606" s="35"/>
    </row>
    <row r="607" spans="6:8">
      <c r="F607" s="35"/>
      <c r="G607" s="35"/>
      <c r="H607" s="35"/>
    </row>
    <row r="608" spans="6:8">
      <c r="F608" s="35"/>
      <c r="G608" s="35"/>
      <c r="H608" s="35"/>
    </row>
    <row r="609" spans="6:8">
      <c r="F609" s="35"/>
      <c r="G609" s="35"/>
      <c r="H609" s="35"/>
    </row>
    <row r="610" spans="6:8">
      <c r="F610" s="35"/>
      <c r="G610" s="35"/>
      <c r="H610" s="35"/>
    </row>
    <row r="611" spans="6:8">
      <c r="F611" s="35"/>
      <c r="G611" s="35"/>
      <c r="H611" s="35"/>
    </row>
    <row r="612" spans="6:8">
      <c r="F612" s="35"/>
      <c r="G612" s="35"/>
      <c r="H612" s="35"/>
    </row>
    <row r="613" spans="6:8">
      <c r="F613" s="35"/>
      <c r="G613" s="35"/>
      <c r="H613" s="35"/>
    </row>
    <row r="614" spans="6:8">
      <c r="F614" s="35"/>
      <c r="G614" s="35"/>
      <c r="H614" s="35"/>
    </row>
    <row r="615" spans="6:8">
      <c r="F615" s="35"/>
      <c r="G615" s="35"/>
      <c r="H615" s="35"/>
    </row>
    <row r="616" spans="6:8">
      <c r="F616" s="35"/>
      <c r="G616" s="35"/>
      <c r="H616" s="35"/>
    </row>
    <row r="617" spans="6:8">
      <c r="F617" s="35"/>
      <c r="G617" s="35"/>
      <c r="H617" s="35"/>
    </row>
    <row r="618" spans="6:8">
      <c r="F618" s="35"/>
      <c r="G618" s="35"/>
      <c r="H618" s="35"/>
    </row>
    <row r="619" spans="6:8">
      <c r="F619" s="35"/>
      <c r="G619" s="35"/>
      <c r="H619" s="35"/>
    </row>
    <row r="620" spans="6:8">
      <c r="F620" s="35"/>
      <c r="G620" s="35"/>
      <c r="H620" s="35"/>
    </row>
    <row r="621" spans="6:8">
      <c r="F621" s="35"/>
      <c r="G621" s="35"/>
      <c r="H621" s="35"/>
    </row>
    <row r="622" spans="6:8">
      <c r="F622" s="35"/>
      <c r="G622" s="35"/>
      <c r="H622" s="35"/>
    </row>
    <row r="623" spans="6:8">
      <c r="F623" s="35"/>
      <c r="G623" s="35"/>
      <c r="H623" s="35"/>
    </row>
    <row r="624" spans="6:8">
      <c r="F624" s="35"/>
      <c r="G624" s="35"/>
      <c r="H624" s="35"/>
    </row>
    <row r="625" spans="6:8">
      <c r="F625" s="35"/>
      <c r="G625" s="35"/>
      <c r="H625" s="35"/>
    </row>
    <row r="626" spans="6:8">
      <c r="F626" s="35"/>
      <c r="G626" s="35"/>
      <c r="H626" s="35"/>
    </row>
    <row r="627" spans="6:8">
      <c r="F627" s="35"/>
      <c r="G627" s="35"/>
      <c r="H627" s="35"/>
    </row>
    <row r="628" spans="6:8">
      <c r="F628" s="35"/>
      <c r="G628" s="35"/>
      <c r="H628" s="35"/>
    </row>
    <row r="629" spans="6:8">
      <c r="F629" s="35"/>
      <c r="G629" s="35"/>
      <c r="H629" s="35"/>
    </row>
    <row r="630" spans="6:8">
      <c r="F630" s="35"/>
      <c r="G630" s="35"/>
      <c r="H630" s="35"/>
    </row>
    <row r="631" spans="6:8">
      <c r="F631" s="35"/>
      <c r="G631" s="35"/>
      <c r="H631" s="35"/>
    </row>
    <row r="632" spans="6:8">
      <c r="F632" s="35"/>
      <c r="G632" s="35"/>
      <c r="H632" s="35"/>
    </row>
    <row r="633" spans="6:8">
      <c r="F633" s="35"/>
      <c r="G633" s="35"/>
      <c r="H633" s="35"/>
    </row>
    <row r="634" spans="6:8">
      <c r="F634" s="35"/>
      <c r="G634" s="35"/>
      <c r="H634" s="35"/>
    </row>
    <row r="635" spans="6:8">
      <c r="F635" s="35"/>
      <c r="G635" s="35"/>
      <c r="H635" s="35"/>
    </row>
    <row r="636" spans="6:8">
      <c r="F636" s="35"/>
      <c r="G636" s="35"/>
      <c r="H636" s="35"/>
    </row>
    <row r="637" spans="6:8">
      <c r="F637" s="35"/>
      <c r="G637" s="35"/>
      <c r="H637" s="35"/>
    </row>
    <row r="638" spans="6:8">
      <c r="F638" s="35"/>
      <c r="G638" s="35"/>
      <c r="H638" s="35"/>
    </row>
    <row r="639" spans="6:8">
      <c r="F639" s="35"/>
      <c r="G639" s="35"/>
      <c r="H639" s="35"/>
    </row>
    <row r="640" spans="6:8">
      <c r="F640" s="35"/>
      <c r="G640" s="35"/>
      <c r="H640" s="35"/>
    </row>
    <row r="641" spans="6:8">
      <c r="F641" s="35"/>
      <c r="G641" s="35"/>
      <c r="H641" s="35"/>
    </row>
    <row r="642" spans="6:8">
      <c r="F642" s="35"/>
      <c r="G642" s="35"/>
      <c r="H642" s="35"/>
    </row>
    <row r="643" spans="6:8">
      <c r="F643" s="35"/>
      <c r="G643" s="35"/>
      <c r="H643" s="35"/>
    </row>
    <row r="644" spans="6:8">
      <c r="F644" s="35"/>
      <c r="G644" s="35"/>
      <c r="H644" s="35"/>
    </row>
    <row r="645" spans="6:8">
      <c r="F645" s="35"/>
      <c r="G645" s="35"/>
      <c r="H645" s="35"/>
    </row>
    <row r="646" spans="6:8">
      <c r="F646" s="35"/>
      <c r="G646" s="35"/>
      <c r="H646" s="35"/>
    </row>
    <row r="647" spans="6:8">
      <c r="F647" s="35"/>
      <c r="G647" s="35"/>
      <c r="H647" s="35"/>
    </row>
    <row r="648" spans="6:8">
      <c r="F648" s="35"/>
      <c r="G648" s="35"/>
      <c r="H648" s="35"/>
    </row>
    <row r="649" spans="6:8">
      <c r="F649" s="35"/>
      <c r="G649" s="35"/>
      <c r="H649" s="35"/>
    </row>
    <row r="650" spans="6:8">
      <c r="F650" s="35"/>
      <c r="G650" s="35"/>
      <c r="H650" s="35"/>
    </row>
    <row r="651" spans="6:8">
      <c r="F651" s="35"/>
      <c r="G651" s="35"/>
      <c r="H651" s="35"/>
    </row>
    <row r="652" spans="6:8">
      <c r="F652" s="35"/>
      <c r="G652" s="35"/>
      <c r="H652" s="35"/>
    </row>
    <row r="653" spans="6:8">
      <c r="F653" s="35"/>
      <c r="G653" s="35"/>
      <c r="H653" s="35"/>
    </row>
    <row r="654" spans="6:8">
      <c r="F654" s="35"/>
      <c r="G654" s="35"/>
      <c r="H654" s="35"/>
    </row>
    <row r="655" spans="6:8">
      <c r="F655" s="35"/>
      <c r="G655" s="35"/>
      <c r="H655" s="35"/>
    </row>
    <row r="656" spans="6:8">
      <c r="F656" s="35"/>
      <c r="G656" s="35"/>
      <c r="H656" s="35"/>
    </row>
    <row r="657" spans="6:8">
      <c r="F657" s="35"/>
      <c r="G657" s="35"/>
      <c r="H657" s="35"/>
    </row>
    <row r="658" spans="6:8">
      <c r="F658" s="35"/>
      <c r="G658" s="35"/>
      <c r="H658" s="35"/>
    </row>
    <row r="659" spans="6:8">
      <c r="F659" s="35"/>
      <c r="G659" s="35"/>
      <c r="H659" s="35"/>
    </row>
    <row r="660" spans="6:8">
      <c r="F660" s="35"/>
      <c r="G660" s="35"/>
      <c r="H660" s="35"/>
    </row>
    <row r="661" spans="6:8">
      <c r="F661" s="35"/>
      <c r="G661" s="35"/>
      <c r="H661" s="35"/>
    </row>
    <row r="662" spans="6:8">
      <c r="F662" s="35"/>
      <c r="G662" s="35"/>
      <c r="H662" s="35"/>
    </row>
    <row r="663" spans="6:8">
      <c r="F663" s="35"/>
      <c r="G663" s="35"/>
      <c r="H663" s="35"/>
    </row>
    <row r="664" spans="6:8">
      <c r="F664" s="35"/>
      <c r="G664" s="35"/>
      <c r="H664" s="35"/>
    </row>
    <row r="665" spans="6:8">
      <c r="F665" s="35"/>
      <c r="G665" s="35"/>
      <c r="H665" s="35"/>
    </row>
    <row r="666" spans="6:8">
      <c r="F666" s="35"/>
      <c r="G666" s="35"/>
      <c r="H666" s="35"/>
    </row>
    <row r="667" spans="6:8">
      <c r="F667" s="35"/>
      <c r="G667" s="35"/>
      <c r="H667" s="35"/>
    </row>
    <row r="668" spans="6:8">
      <c r="F668" s="35"/>
      <c r="G668" s="35"/>
      <c r="H668" s="35"/>
    </row>
    <row r="669" spans="6:8">
      <c r="F669" s="35"/>
      <c r="G669" s="35"/>
      <c r="H669" s="35"/>
    </row>
    <row r="670" spans="6:8">
      <c r="F670" s="35"/>
      <c r="G670" s="35"/>
      <c r="H670" s="35"/>
    </row>
    <row r="671" spans="6:8">
      <c r="F671" s="35"/>
      <c r="G671" s="35"/>
      <c r="H671" s="35"/>
    </row>
    <row r="672" spans="6:8">
      <c r="F672" s="35"/>
      <c r="G672" s="35"/>
      <c r="H672" s="35"/>
    </row>
    <row r="673" spans="6:8">
      <c r="F673" s="35"/>
      <c r="G673" s="35"/>
      <c r="H673" s="35"/>
    </row>
    <row r="674" spans="6:8">
      <c r="F674" s="35"/>
      <c r="G674" s="35"/>
      <c r="H674" s="35"/>
    </row>
    <row r="675" spans="6:8">
      <c r="F675" s="35"/>
      <c r="G675" s="35"/>
      <c r="H675" s="35"/>
    </row>
    <row r="676" spans="6:8">
      <c r="F676" s="35"/>
      <c r="G676" s="35"/>
      <c r="H676" s="35"/>
    </row>
    <row r="677" spans="6:8">
      <c r="F677" s="35"/>
      <c r="G677" s="35"/>
      <c r="H677" s="35"/>
    </row>
    <row r="678" spans="6:8">
      <c r="F678" s="35"/>
      <c r="G678" s="35"/>
      <c r="H678" s="35"/>
    </row>
    <row r="679" spans="6:8">
      <c r="F679" s="35"/>
      <c r="G679" s="35"/>
      <c r="H679" s="35"/>
    </row>
    <row r="680" spans="6:8">
      <c r="F680" s="35"/>
      <c r="G680" s="35"/>
      <c r="H680" s="35"/>
    </row>
    <row r="681" spans="6:8">
      <c r="F681" s="35"/>
      <c r="G681" s="35"/>
      <c r="H681" s="35"/>
    </row>
    <row r="682" spans="6:8">
      <c r="F682" s="35"/>
      <c r="G682" s="35"/>
      <c r="H682" s="35"/>
    </row>
    <row r="683" spans="6:8">
      <c r="F683" s="35"/>
      <c r="G683" s="35"/>
      <c r="H683" s="35"/>
    </row>
    <row r="684" spans="6:8">
      <c r="F684" s="35"/>
      <c r="G684" s="35"/>
      <c r="H684" s="35"/>
    </row>
    <row r="685" spans="6:8">
      <c r="F685" s="35"/>
      <c r="G685" s="35"/>
      <c r="H685" s="35"/>
    </row>
    <row r="686" spans="6:8">
      <c r="F686" s="35"/>
      <c r="G686" s="35"/>
      <c r="H686" s="35"/>
    </row>
    <row r="687" spans="6:8">
      <c r="F687" s="35"/>
      <c r="G687" s="35"/>
      <c r="H687" s="35"/>
    </row>
    <row r="688" spans="6:8">
      <c r="F688" s="35"/>
      <c r="G688" s="35"/>
      <c r="H688" s="35"/>
    </row>
    <row r="689" spans="6:8">
      <c r="F689" s="35"/>
      <c r="G689" s="35"/>
      <c r="H689" s="35"/>
    </row>
    <row r="690" spans="6:8">
      <c r="F690" s="35"/>
      <c r="G690" s="35"/>
      <c r="H690" s="35"/>
    </row>
    <row r="691" spans="6:8">
      <c r="F691" s="35"/>
      <c r="G691" s="35"/>
      <c r="H691" s="35"/>
    </row>
    <row r="692" spans="6:8">
      <c r="F692" s="35"/>
      <c r="G692" s="35"/>
      <c r="H692" s="35"/>
    </row>
    <row r="693" spans="6:8">
      <c r="F693" s="35"/>
      <c r="G693" s="35"/>
      <c r="H693" s="35"/>
    </row>
    <row r="694" spans="6:8">
      <c r="F694" s="35"/>
      <c r="G694" s="35"/>
      <c r="H694" s="35"/>
    </row>
    <row r="695" spans="6:8">
      <c r="F695" s="35"/>
      <c r="G695" s="35"/>
      <c r="H695" s="35"/>
    </row>
    <row r="696" spans="6:8">
      <c r="F696" s="35"/>
      <c r="G696" s="35"/>
      <c r="H696" s="35"/>
    </row>
    <row r="697" spans="6:8">
      <c r="F697" s="35"/>
      <c r="G697" s="35"/>
      <c r="H697" s="35"/>
    </row>
    <row r="698" spans="6:8">
      <c r="F698" s="35"/>
      <c r="G698" s="35"/>
      <c r="H698" s="35"/>
    </row>
    <row r="699" spans="6:8">
      <c r="F699" s="35"/>
      <c r="G699" s="35"/>
      <c r="H699" s="35"/>
    </row>
    <row r="700" spans="6:8">
      <c r="F700" s="35"/>
      <c r="G700" s="35"/>
      <c r="H700" s="35"/>
    </row>
    <row r="701" spans="6:8">
      <c r="F701" s="35"/>
      <c r="G701" s="35"/>
      <c r="H701" s="35"/>
    </row>
    <row r="702" spans="6:8">
      <c r="F702" s="35"/>
      <c r="G702" s="35"/>
      <c r="H702" s="35"/>
    </row>
    <row r="703" spans="6:8">
      <c r="F703" s="35"/>
      <c r="G703" s="35"/>
      <c r="H703" s="35"/>
    </row>
    <row r="704" spans="6:8">
      <c r="F704" s="35"/>
      <c r="G704" s="35"/>
      <c r="H704" s="35"/>
    </row>
    <row r="705" spans="6:8">
      <c r="F705" s="35"/>
      <c r="G705" s="35"/>
      <c r="H705" s="35"/>
    </row>
    <row r="706" spans="6:8">
      <c r="F706" s="35"/>
      <c r="G706" s="35"/>
      <c r="H706" s="35"/>
    </row>
    <row r="707" spans="6:8">
      <c r="F707" s="35"/>
      <c r="G707" s="35"/>
      <c r="H707" s="35"/>
    </row>
    <row r="708" spans="6:8">
      <c r="F708" s="35"/>
      <c r="G708" s="35"/>
      <c r="H708" s="35"/>
    </row>
    <row r="709" spans="6:8">
      <c r="F709" s="35"/>
      <c r="G709" s="35"/>
      <c r="H709" s="35"/>
    </row>
    <row r="710" spans="6:8">
      <c r="F710" s="35"/>
      <c r="G710" s="35"/>
      <c r="H710" s="35"/>
    </row>
    <row r="711" spans="6:8">
      <c r="F711" s="35"/>
      <c r="G711" s="35"/>
      <c r="H711" s="35"/>
    </row>
    <row r="712" spans="6:8">
      <c r="F712" s="35"/>
      <c r="G712" s="35"/>
      <c r="H712" s="35"/>
    </row>
    <row r="713" spans="6:8">
      <c r="F713" s="35"/>
      <c r="G713" s="35"/>
      <c r="H713" s="35"/>
    </row>
    <row r="714" spans="6:8">
      <c r="F714" s="35"/>
      <c r="G714" s="35"/>
      <c r="H714" s="35"/>
    </row>
    <row r="715" spans="6:8">
      <c r="F715" s="35"/>
      <c r="G715" s="35"/>
      <c r="H715" s="35"/>
    </row>
    <row r="716" spans="6:8">
      <c r="F716" s="35"/>
      <c r="G716" s="35"/>
      <c r="H716" s="35"/>
    </row>
    <row r="717" spans="6:8">
      <c r="F717" s="35"/>
      <c r="G717" s="35"/>
      <c r="H717" s="35"/>
    </row>
    <row r="718" spans="6:8">
      <c r="F718" s="35"/>
      <c r="G718" s="35"/>
      <c r="H718" s="35"/>
    </row>
    <row r="719" spans="6:8">
      <c r="F719" s="35"/>
      <c r="G719" s="35"/>
      <c r="H719" s="35"/>
    </row>
    <row r="720" spans="6:8">
      <c r="F720" s="35"/>
      <c r="G720" s="35"/>
      <c r="H720" s="35"/>
    </row>
    <row r="721" spans="6:8">
      <c r="F721" s="35"/>
      <c r="G721" s="35"/>
      <c r="H721" s="35"/>
    </row>
    <row r="722" spans="6:8">
      <c r="F722" s="35"/>
      <c r="G722" s="35"/>
      <c r="H722" s="35"/>
    </row>
    <row r="723" spans="6:8">
      <c r="F723" s="35"/>
      <c r="G723" s="35"/>
      <c r="H723" s="35"/>
    </row>
    <row r="724" spans="6:8">
      <c r="F724" s="35"/>
      <c r="G724" s="35"/>
      <c r="H724" s="35"/>
    </row>
    <row r="725" spans="6:8">
      <c r="F725" s="35"/>
      <c r="G725" s="35"/>
      <c r="H725" s="35"/>
    </row>
    <row r="726" spans="6:8">
      <c r="F726" s="35"/>
      <c r="G726" s="35"/>
      <c r="H726" s="35"/>
    </row>
    <row r="727" spans="6:8">
      <c r="F727" s="35"/>
      <c r="G727" s="35"/>
      <c r="H727" s="35"/>
    </row>
    <row r="728" spans="6:8">
      <c r="F728" s="35"/>
      <c r="G728" s="35"/>
      <c r="H728" s="35"/>
    </row>
    <row r="729" spans="6:8">
      <c r="F729" s="35"/>
      <c r="G729" s="35"/>
      <c r="H729" s="35"/>
    </row>
    <row r="730" spans="6:8">
      <c r="F730" s="35"/>
      <c r="G730" s="35"/>
      <c r="H730" s="35"/>
    </row>
    <row r="731" spans="6:8">
      <c r="F731" s="35"/>
      <c r="G731" s="35"/>
      <c r="H731" s="35"/>
    </row>
    <row r="732" spans="6:8">
      <c r="F732" s="35"/>
      <c r="G732" s="35"/>
      <c r="H732" s="35"/>
    </row>
    <row r="733" spans="6:8">
      <c r="F733" s="35"/>
      <c r="G733" s="35"/>
      <c r="H733" s="35"/>
    </row>
    <row r="734" spans="6:8">
      <c r="F734" s="35"/>
      <c r="G734" s="35"/>
      <c r="H734" s="35"/>
    </row>
    <row r="735" spans="6:8">
      <c r="F735" s="35"/>
      <c r="G735" s="35"/>
      <c r="H735" s="35"/>
    </row>
    <row r="736" spans="6:8">
      <c r="F736" s="35"/>
      <c r="G736" s="35"/>
      <c r="H736" s="35"/>
    </row>
    <row r="737" spans="6:8">
      <c r="F737" s="35"/>
      <c r="G737" s="35"/>
      <c r="H737" s="35"/>
    </row>
    <row r="738" spans="6:8">
      <c r="F738" s="35"/>
      <c r="G738" s="35"/>
      <c r="H738" s="35"/>
    </row>
    <row r="739" spans="6:8">
      <c r="F739" s="35"/>
      <c r="G739" s="35"/>
      <c r="H739" s="35"/>
    </row>
    <row r="740" spans="6:8">
      <c r="F740" s="35"/>
      <c r="G740" s="35"/>
      <c r="H740" s="35"/>
    </row>
    <row r="741" spans="6:8">
      <c r="F741" s="35"/>
      <c r="G741" s="35"/>
      <c r="H741" s="35"/>
    </row>
    <row r="742" spans="6:8">
      <c r="F742" s="35"/>
      <c r="G742" s="35"/>
      <c r="H742" s="35"/>
    </row>
    <row r="743" spans="6:8">
      <c r="F743" s="35"/>
      <c r="G743" s="35"/>
      <c r="H743" s="35"/>
    </row>
    <row r="744" spans="6:8">
      <c r="F744" s="35"/>
      <c r="G744" s="35"/>
      <c r="H744" s="35"/>
    </row>
    <row r="745" spans="6:8">
      <c r="F745" s="35"/>
      <c r="G745" s="35"/>
      <c r="H745" s="35"/>
    </row>
    <row r="746" spans="6:8">
      <c r="F746" s="35"/>
      <c r="G746" s="35"/>
      <c r="H746" s="35"/>
    </row>
    <row r="747" spans="6:8">
      <c r="F747" s="35"/>
      <c r="G747" s="35"/>
      <c r="H747" s="35"/>
    </row>
    <row r="748" spans="6:8">
      <c r="F748" s="35"/>
      <c r="G748" s="35"/>
      <c r="H748" s="35"/>
    </row>
    <row r="749" spans="6:8">
      <c r="F749" s="35"/>
      <c r="G749" s="35"/>
      <c r="H749" s="35"/>
    </row>
    <row r="750" spans="6:8">
      <c r="F750" s="35"/>
      <c r="G750" s="35"/>
      <c r="H750" s="35"/>
    </row>
    <row r="751" spans="6:8">
      <c r="F751" s="35"/>
      <c r="G751" s="35"/>
      <c r="H751" s="35"/>
    </row>
    <row r="752" spans="6:8">
      <c r="F752" s="35"/>
      <c r="G752" s="35"/>
      <c r="H752" s="35"/>
    </row>
    <row r="753" spans="6:8">
      <c r="F753" s="35"/>
      <c r="G753" s="35"/>
      <c r="H753" s="35"/>
    </row>
    <row r="754" spans="6:8">
      <c r="F754" s="35"/>
      <c r="G754" s="35"/>
      <c r="H754" s="35"/>
    </row>
    <row r="755" spans="6:8">
      <c r="F755" s="35"/>
      <c r="G755" s="35"/>
      <c r="H755" s="35"/>
    </row>
    <row r="756" spans="6:8">
      <c r="F756" s="35"/>
      <c r="G756" s="35"/>
      <c r="H756" s="35"/>
    </row>
    <row r="757" spans="6:8">
      <c r="F757" s="35"/>
      <c r="G757" s="35"/>
      <c r="H757" s="35"/>
    </row>
    <row r="758" spans="6:8">
      <c r="F758" s="35"/>
      <c r="G758" s="35"/>
      <c r="H758" s="35"/>
    </row>
    <row r="759" spans="6:8">
      <c r="F759" s="35"/>
      <c r="G759" s="35"/>
      <c r="H759" s="35"/>
    </row>
    <row r="760" spans="6:8">
      <c r="F760" s="35"/>
      <c r="G760" s="35"/>
      <c r="H760" s="35"/>
    </row>
    <row r="761" spans="6:8">
      <c r="F761" s="35"/>
      <c r="G761" s="35"/>
      <c r="H761" s="35"/>
    </row>
    <row r="762" spans="6:8">
      <c r="F762" s="35"/>
      <c r="G762" s="35"/>
      <c r="H762" s="35"/>
    </row>
    <row r="763" spans="6:8">
      <c r="F763" s="35"/>
      <c r="G763" s="35"/>
      <c r="H763" s="35"/>
    </row>
    <row r="764" spans="6:8">
      <c r="F764" s="35"/>
      <c r="G764" s="35"/>
      <c r="H764" s="35"/>
    </row>
    <row r="765" spans="6:8">
      <c r="F765" s="35"/>
      <c r="G765" s="35"/>
      <c r="H765" s="35"/>
    </row>
    <row r="766" spans="6:8">
      <c r="F766" s="35"/>
      <c r="G766" s="35"/>
      <c r="H766" s="35"/>
    </row>
    <row r="767" spans="6:8">
      <c r="F767" s="35"/>
      <c r="G767" s="35"/>
      <c r="H767" s="35"/>
    </row>
    <row r="768" spans="6:8">
      <c r="F768" s="35"/>
      <c r="G768" s="35"/>
      <c r="H768" s="35"/>
    </row>
    <row r="769" spans="6:8">
      <c r="F769" s="35"/>
      <c r="G769" s="35"/>
      <c r="H769" s="35"/>
    </row>
    <row r="770" spans="6:8">
      <c r="F770" s="35"/>
      <c r="G770" s="35"/>
      <c r="H770" s="35"/>
    </row>
    <row r="771" spans="6:8">
      <c r="F771" s="35"/>
      <c r="G771" s="35"/>
      <c r="H771" s="35"/>
    </row>
    <row r="772" spans="6:8">
      <c r="F772" s="35"/>
      <c r="G772" s="35"/>
      <c r="H772" s="35"/>
    </row>
    <row r="773" spans="6:8">
      <c r="F773" s="35"/>
      <c r="G773" s="35"/>
      <c r="H773" s="35"/>
    </row>
    <row r="774" spans="6:8">
      <c r="F774" s="35"/>
      <c r="G774" s="35"/>
      <c r="H774" s="35"/>
    </row>
    <row r="775" spans="6:8">
      <c r="F775" s="35"/>
      <c r="G775" s="35"/>
      <c r="H775" s="35"/>
    </row>
    <row r="776" spans="6:8">
      <c r="F776" s="35"/>
      <c r="G776" s="35"/>
      <c r="H776" s="35"/>
    </row>
    <row r="777" spans="6:8">
      <c r="F777" s="35"/>
      <c r="G777" s="35"/>
      <c r="H777" s="35"/>
    </row>
    <row r="778" spans="6:8">
      <c r="F778" s="35"/>
      <c r="G778" s="35"/>
      <c r="H778" s="35"/>
    </row>
    <row r="779" spans="6:8">
      <c r="F779" s="35"/>
      <c r="G779" s="35"/>
      <c r="H779" s="35"/>
    </row>
    <row r="780" spans="6:8">
      <c r="F780" s="35"/>
      <c r="G780" s="35"/>
      <c r="H780" s="35"/>
    </row>
    <row r="781" spans="6:8">
      <c r="F781" s="35"/>
      <c r="G781" s="35"/>
      <c r="H781" s="35"/>
    </row>
    <row r="782" spans="6:8">
      <c r="F782" s="35"/>
      <c r="G782" s="35"/>
      <c r="H782" s="35"/>
    </row>
    <row r="783" spans="6:8">
      <c r="F783" s="35"/>
      <c r="G783" s="35"/>
      <c r="H783" s="35"/>
    </row>
    <row r="784" spans="6:8">
      <c r="F784" s="35"/>
      <c r="G784" s="35"/>
      <c r="H784" s="35"/>
    </row>
    <row r="785" spans="6:8">
      <c r="F785" s="35"/>
      <c r="G785" s="35"/>
      <c r="H785" s="35"/>
    </row>
    <row r="786" spans="6:8">
      <c r="F786" s="35"/>
      <c r="G786" s="35"/>
      <c r="H786" s="35"/>
    </row>
    <row r="787" spans="6:8">
      <c r="F787" s="35"/>
      <c r="G787" s="35"/>
      <c r="H787" s="35"/>
    </row>
    <row r="788" spans="6:8">
      <c r="F788" s="35"/>
      <c r="G788" s="35"/>
      <c r="H788" s="35"/>
    </row>
    <row r="789" spans="6:8">
      <c r="F789" s="35"/>
      <c r="G789" s="35"/>
      <c r="H789" s="35"/>
    </row>
    <row r="790" spans="6:8">
      <c r="F790" s="35"/>
      <c r="G790" s="35"/>
      <c r="H790" s="35"/>
    </row>
    <row r="791" spans="6:8">
      <c r="F791" s="35"/>
      <c r="G791" s="35"/>
      <c r="H791" s="35"/>
    </row>
    <row r="792" spans="6:8">
      <c r="F792" s="35"/>
      <c r="G792" s="35"/>
      <c r="H792" s="35"/>
    </row>
    <row r="793" spans="6:8">
      <c r="F793" s="35"/>
      <c r="G793" s="35"/>
      <c r="H793" s="35"/>
    </row>
    <row r="794" spans="6:8">
      <c r="F794" s="35"/>
      <c r="G794" s="35"/>
      <c r="H794" s="35"/>
    </row>
    <row r="795" spans="6:8">
      <c r="F795" s="35"/>
      <c r="G795" s="35"/>
      <c r="H795" s="35"/>
    </row>
    <row r="796" spans="6:8">
      <c r="F796" s="35"/>
      <c r="G796" s="35"/>
      <c r="H796" s="35"/>
    </row>
    <row r="797" spans="6:8">
      <c r="F797" s="35"/>
      <c r="G797" s="35"/>
      <c r="H797" s="35"/>
    </row>
    <row r="798" spans="6:8">
      <c r="F798" s="35"/>
      <c r="G798" s="35"/>
      <c r="H798" s="35"/>
    </row>
    <row r="799" spans="6:8">
      <c r="F799" s="35"/>
      <c r="G799" s="35"/>
      <c r="H799" s="35"/>
    </row>
    <row r="800" spans="6:8">
      <c r="F800" s="35"/>
      <c r="G800" s="35"/>
      <c r="H800" s="35"/>
    </row>
    <row r="801" spans="6:8">
      <c r="F801" s="35"/>
      <c r="G801" s="35"/>
      <c r="H801" s="35"/>
    </row>
    <row r="802" spans="6:8">
      <c r="F802" s="35"/>
      <c r="G802" s="35"/>
      <c r="H802" s="35"/>
    </row>
    <row r="803" spans="6:8">
      <c r="F803" s="35"/>
      <c r="G803" s="35"/>
      <c r="H803" s="35"/>
    </row>
    <row r="804" spans="6:8">
      <c r="F804" s="35"/>
      <c r="G804" s="35"/>
      <c r="H804" s="35"/>
    </row>
    <row r="805" spans="6:8">
      <c r="F805" s="35"/>
      <c r="G805" s="35"/>
      <c r="H805" s="35"/>
    </row>
    <row r="806" spans="6:8">
      <c r="F806" s="35"/>
      <c r="G806" s="35"/>
      <c r="H806" s="35"/>
    </row>
    <row r="807" spans="6:8">
      <c r="F807" s="35"/>
      <c r="G807" s="35"/>
      <c r="H807" s="35"/>
    </row>
    <row r="808" spans="6:8">
      <c r="F808" s="35"/>
      <c r="G808" s="35"/>
      <c r="H808" s="35"/>
    </row>
    <row r="809" spans="6:8">
      <c r="F809" s="35"/>
      <c r="G809" s="35"/>
      <c r="H809" s="35"/>
    </row>
    <row r="810" spans="6:8">
      <c r="F810" s="35"/>
      <c r="G810" s="35"/>
      <c r="H810" s="35"/>
    </row>
    <row r="811" spans="6:8">
      <c r="F811" s="35"/>
      <c r="G811" s="35"/>
      <c r="H811" s="35"/>
    </row>
    <row r="812" spans="6:8">
      <c r="F812" s="35"/>
      <c r="G812" s="35"/>
      <c r="H812" s="35"/>
    </row>
    <row r="813" spans="6:8">
      <c r="F813" s="35"/>
      <c r="G813" s="35"/>
      <c r="H813" s="35"/>
    </row>
    <row r="814" spans="6:8">
      <c r="F814" s="35"/>
      <c r="G814" s="35"/>
      <c r="H814" s="35"/>
    </row>
    <row r="815" spans="6:8">
      <c r="F815" s="35"/>
      <c r="G815" s="35"/>
      <c r="H815" s="35"/>
    </row>
    <row r="816" spans="6:8">
      <c r="F816" s="35"/>
      <c r="G816" s="35"/>
      <c r="H816" s="35"/>
    </row>
    <row r="817" spans="6:8">
      <c r="F817" s="35"/>
      <c r="G817" s="35"/>
      <c r="H817" s="35"/>
    </row>
    <row r="818" spans="6:8">
      <c r="F818" s="35"/>
      <c r="G818" s="35"/>
      <c r="H818" s="35"/>
    </row>
    <row r="819" spans="6:8">
      <c r="F819" s="35"/>
      <c r="G819" s="35"/>
      <c r="H819" s="35"/>
    </row>
    <row r="820" spans="6:8">
      <c r="F820" s="35"/>
      <c r="G820" s="35"/>
      <c r="H820" s="35"/>
    </row>
    <row r="821" spans="6:8">
      <c r="F821" s="35"/>
      <c r="G821" s="35"/>
      <c r="H821" s="35"/>
    </row>
    <row r="822" spans="6:8">
      <c r="F822" s="35"/>
      <c r="G822" s="35"/>
      <c r="H822" s="35"/>
    </row>
    <row r="823" spans="6:8">
      <c r="F823" s="35"/>
      <c r="G823" s="35"/>
      <c r="H823" s="35"/>
    </row>
    <row r="824" spans="6:8">
      <c r="F824" s="35"/>
      <c r="G824" s="35"/>
      <c r="H824" s="35"/>
    </row>
    <row r="825" spans="6:8">
      <c r="F825" s="35"/>
      <c r="G825" s="35"/>
      <c r="H825" s="35"/>
    </row>
    <row r="826" spans="6:8">
      <c r="F826" s="35"/>
      <c r="G826" s="35"/>
      <c r="H826" s="35"/>
    </row>
    <row r="827" spans="6:8">
      <c r="F827" s="35"/>
      <c r="G827" s="35"/>
      <c r="H827" s="35"/>
    </row>
    <row r="828" spans="6:8">
      <c r="F828" s="35"/>
      <c r="G828" s="35"/>
      <c r="H828" s="35"/>
    </row>
    <row r="829" spans="6:8">
      <c r="F829" s="35"/>
      <c r="G829" s="35"/>
      <c r="H829" s="35"/>
    </row>
    <row r="830" spans="6:8">
      <c r="F830" s="35"/>
      <c r="G830" s="35"/>
      <c r="H830" s="35"/>
    </row>
    <row r="831" spans="6:8">
      <c r="F831" s="35"/>
      <c r="G831" s="35"/>
      <c r="H831" s="35"/>
    </row>
    <row r="832" spans="6:8">
      <c r="F832" s="35"/>
      <c r="G832" s="35"/>
      <c r="H832" s="35"/>
    </row>
    <row r="833" spans="6:8">
      <c r="F833" s="35"/>
      <c r="G833" s="35"/>
      <c r="H833" s="35"/>
    </row>
    <row r="834" spans="6:8">
      <c r="F834" s="35"/>
      <c r="G834" s="35"/>
      <c r="H834" s="35"/>
    </row>
    <row r="835" spans="6:8">
      <c r="F835" s="35"/>
      <c r="G835" s="35"/>
      <c r="H835" s="35"/>
    </row>
    <row r="836" spans="6:8">
      <c r="F836" s="35"/>
      <c r="G836" s="35"/>
      <c r="H836" s="35"/>
    </row>
    <row r="837" spans="6:8">
      <c r="F837" s="35"/>
      <c r="G837" s="35"/>
      <c r="H837" s="35"/>
    </row>
    <row r="838" spans="6:8">
      <c r="F838" s="35"/>
      <c r="G838" s="35"/>
      <c r="H838" s="35"/>
    </row>
    <row r="839" spans="6:8">
      <c r="F839" s="35"/>
      <c r="G839" s="35"/>
      <c r="H839" s="35"/>
    </row>
    <row r="840" spans="6:8">
      <c r="F840" s="35"/>
      <c r="G840" s="35"/>
      <c r="H840" s="35"/>
    </row>
    <row r="841" spans="6:8">
      <c r="F841" s="35"/>
      <c r="G841" s="35"/>
      <c r="H841" s="35"/>
    </row>
    <row r="842" spans="6:8">
      <c r="F842" s="35"/>
      <c r="G842" s="35"/>
      <c r="H842" s="35"/>
    </row>
    <row r="843" spans="6:8">
      <c r="F843" s="35"/>
      <c r="G843" s="35"/>
      <c r="H843" s="35"/>
    </row>
    <row r="844" spans="6:8">
      <c r="F844" s="35"/>
      <c r="G844" s="35"/>
      <c r="H844" s="35"/>
    </row>
    <row r="845" spans="6:8">
      <c r="F845" s="35"/>
      <c r="G845" s="35"/>
      <c r="H845" s="35"/>
    </row>
    <row r="846" spans="6:8">
      <c r="F846" s="35"/>
      <c r="G846" s="35"/>
      <c r="H846" s="35"/>
    </row>
    <row r="847" spans="6:8">
      <c r="F847" s="35"/>
      <c r="G847" s="35"/>
      <c r="H847" s="35"/>
    </row>
    <row r="848" spans="6:8">
      <c r="F848" s="35"/>
      <c r="G848" s="35"/>
      <c r="H848" s="35"/>
    </row>
    <row r="849" spans="6:8">
      <c r="F849" s="35"/>
      <c r="G849" s="35"/>
      <c r="H849" s="35"/>
    </row>
    <row r="850" spans="6:8">
      <c r="F850" s="35"/>
      <c r="G850" s="35"/>
      <c r="H850" s="35"/>
    </row>
    <row r="851" spans="6:8">
      <c r="F851" s="35"/>
      <c r="G851" s="35"/>
      <c r="H851" s="35"/>
    </row>
    <row r="852" spans="6:8">
      <c r="F852" s="35"/>
      <c r="G852" s="35"/>
      <c r="H852" s="35"/>
    </row>
    <row r="853" spans="6:8">
      <c r="F853" s="35"/>
      <c r="G853" s="35"/>
      <c r="H853" s="35"/>
    </row>
    <row r="854" spans="6:8">
      <c r="F854" s="35"/>
      <c r="G854" s="35"/>
      <c r="H854" s="35"/>
    </row>
    <row r="855" spans="6:8">
      <c r="F855" s="35"/>
      <c r="G855" s="35"/>
      <c r="H855" s="35"/>
    </row>
    <row r="856" spans="6:8">
      <c r="F856" s="35"/>
      <c r="G856" s="35"/>
      <c r="H856" s="35"/>
    </row>
    <row r="857" spans="6:8">
      <c r="F857" s="35"/>
      <c r="G857" s="35"/>
      <c r="H857" s="35"/>
    </row>
    <row r="858" spans="6:8">
      <c r="F858" s="35"/>
      <c r="G858" s="35"/>
      <c r="H858" s="35"/>
    </row>
    <row r="859" spans="6:8">
      <c r="F859" s="35"/>
      <c r="G859" s="35"/>
      <c r="H859" s="35"/>
    </row>
    <row r="860" spans="6:8">
      <c r="F860" s="35"/>
      <c r="G860" s="35"/>
      <c r="H860" s="35"/>
    </row>
    <row r="861" spans="6:8">
      <c r="F861" s="35"/>
      <c r="G861" s="35"/>
      <c r="H861" s="35"/>
    </row>
    <row r="862" spans="6:8">
      <c r="F862" s="35"/>
      <c r="G862" s="35"/>
      <c r="H862" s="35"/>
    </row>
    <row r="863" spans="6:8">
      <c r="F863" s="35"/>
      <c r="G863" s="35"/>
      <c r="H863" s="35"/>
    </row>
    <row r="864" spans="6:8">
      <c r="F864" s="35"/>
      <c r="G864" s="35"/>
      <c r="H864" s="35"/>
    </row>
    <row r="865" spans="6:8">
      <c r="F865" s="35"/>
      <c r="G865" s="35"/>
      <c r="H865" s="35"/>
    </row>
    <row r="866" spans="6:8">
      <c r="F866" s="35"/>
      <c r="G866" s="35"/>
      <c r="H866" s="35"/>
    </row>
    <row r="867" spans="6:8">
      <c r="F867" s="35"/>
      <c r="G867" s="35"/>
      <c r="H867" s="35"/>
    </row>
    <row r="868" spans="6:8">
      <c r="F868" s="35"/>
      <c r="G868" s="35"/>
      <c r="H868" s="35"/>
    </row>
    <row r="869" spans="6:8">
      <c r="F869" s="35"/>
      <c r="G869" s="35"/>
      <c r="H869" s="35"/>
    </row>
    <row r="870" spans="6:8">
      <c r="F870" s="35"/>
      <c r="G870" s="35"/>
      <c r="H870" s="35"/>
    </row>
    <row r="871" spans="6:8">
      <c r="F871" s="35"/>
      <c r="G871" s="35"/>
      <c r="H871" s="35"/>
    </row>
    <row r="872" spans="6:8">
      <c r="F872" s="35"/>
      <c r="G872" s="35"/>
      <c r="H872" s="35"/>
    </row>
    <row r="873" spans="6:8">
      <c r="F873" s="35"/>
      <c r="G873" s="35"/>
      <c r="H873" s="35"/>
    </row>
    <row r="874" spans="6:8">
      <c r="F874" s="35"/>
      <c r="G874" s="35"/>
      <c r="H874" s="35"/>
    </row>
    <row r="875" spans="6:8">
      <c r="F875" s="35"/>
      <c r="G875" s="35"/>
      <c r="H875" s="35"/>
    </row>
    <row r="876" spans="6:8">
      <c r="F876" s="35"/>
      <c r="G876" s="35"/>
      <c r="H876" s="35"/>
    </row>
    <row r="877" spans="6:8">
      <c r="F877" s="35"/>
      <c r="G877" s="35"/>
      <c r="H877" s="35"/>
    </row>
    <row r="878" spans="6:8">
      <c r="F878" s="35"/>
      <c r="G878" s="35"/>
      <c r="H878" s="35"/>
    </row>
    <row r="879" spans="6:8">
      <c r="F879" s="35"/>
      <c r="G879" s="35"/>
      <c r="H879" s="35"/>
    </row>
    <row r="880" spans="6:8">
      <c r="F880" s="35"/>
      <c r="G880" s="35"/>
      <c r="H880" s="35"/>
    </row>
    <row r="881" spans="6:8">
      <c r="F881" s="35"/>
      <c r="G881" s="35"/>
      <c r="H881" s="35"/>
    </row>
    <row r="882" spans="6:8">
      <c r="F882" s="35"/>
      <c r="G882" s="35"/>
      <c r="H882" s="35"/>
    </row>
    <row r="883" spans="6:8">
      <c r="F883" s="35"/>
      <c r="G883" s="35"/>
      <c r="H883" s="35"/>
    </row>
    <row r="884" spans="6:8">
      <c r="F884" s="35"/>
      <c r="G884" s="35"/>
      <c r="H884" s="35"/>
    </row>
    <row r="885" spans="6:8">
      <c r="F885" s="35"/>
      <c r="G885" s="35"/>
      <c r="H885" s="35"/>
    </row>
    <row r="886" spans="6:8">
      <c r="F886" s="35"/>
      <c r="G886" s="35"/>
      <c r="H886" s="35"/>
    </row>
    <row r="887" spans="6:8">
      <c r="F887" s="35"/>
      <c r="G887" s="35"/>
      <c r="H887" s="35"/>
    </row>
    <row r="888" spans="6:8">
      <c r="F888" s="35"/>
      <c r="G888" s="35"/>
      <c r="H888" s="35"/>
    </row>
    <row r="889" spans="6:8">
      <c r="F889" s="35"/>
      <c r="G889" s="35"/>
      <c r="H889" s="35"/>
    </row>
    <row r="890" spans="6:8">
      <c r="F890" s="35"/>
      <c r="G890" s="35"/>
      <c r="H890" s="35"/>
    </row>
    <row r="891" spans="6:8">
      <c r="F891" s="35"/>
      <c r="G891" s="35"/>
      <c r="H891" s="35"/>
    </row>
    <row r="892" spans="6:8">
      <c r="F892" s="35"/>
      <c r="G892" s="35"/>
      <c r="H892" s="35"/>
    </row>
    <row r="893" spans="6:8">
      <c r="F893" s="35"/>
      <c r="G893" s="35"/>
      <c r="H893" s="35"/>
    </row>
    <row r="894" spans="6:8">
      <c r="F894" s="35"/>
      <c r="G894" s="35"/>
      <c r="H894" s="35"/>
    </row>
    <row r="895" spans="6:8">
      <c r="F895" s="35"/>
      <c r="G895" s="35"/>
      <c r="H895" s="35"/>
    </row>
    <row r="896" spans="6:8">
      <c r="F896" s="35"/>
      <c r="G896" s="35"/>
      <c r="H896" s="35"/>
    </row>
    <row r="897" spans="6:8">
      <c r="F897" s="35"/>
      <c r="G897" s="35"/>
      <c r="H897" s="35"/>
    </row>
    <row r="898" spans="6:8">
      <c r="F898" s="35"/>
      <c r="G898" s="35"/>
      <c r="H898" s="35"/>
    </row>
    <row r="899" spans="6:8">
      <c r="F899" s="35"/>
      <c r="G899" s="35"/>
      <c r="H899" s="35"/>
    </row>
    <row r="900" spans="6:8">
      <c r="F900" s="35"/>
      <c r="G900" s="35"/>
      <c r="H900" s="35"/>
    </row>
    <row r="901" spans="6:8">
      <c r="F901" s="35"/>
      <c r="G901" s="35"/>
      <c r="H901" s="35"/>
    </row>
    <row r="902" spans="6:8">
      <c r="F902" s="35"/>
      <c r="G902" s="35"/>
      <c r="H902" s="35"/>
    </row>
    <row r="903" spans="6:8">
      <c r="F903" s="35"/>
      <c r="G903" s="35"/>
      <c r="H903" s="35"/>
    </row>
    <row r="904" spans="6:8">
      <c r="F904" s="35"/>
      <c r="G904" s="35"/>
      <c r="H904" s="35"/>
    </row>
    <row r="905" spans="6:8">
      <c r="F905" s="35"/>
      <c r="G905" s="35"/>
      <c r="H905" s="35"/>
    </row>
    <row r="906" spans="6:8">
      <c r="F906" s="35"/>
      <c r="G906" s="35"/>
      <c r="H906" s="35"/>
    </row>
    <row r="907" spans="6:8">
      <c r="F907" s="35"/>
      <c r="G907" s="35"/>
      <c r="H907" s="35"/>
    </row>
    <row r="908" spans="6:8">
      <c r="F908" s="35"/>
      <c r="G908" s="35"/>
      <c r="H908" s="35"/>
    </row>
    <row r="909" spans="6:8">
      <c r="F909" s="35"/>
      <c r="G909" s="35"/>
      <c r="H909" s="35"/>
    </row>
    <row r="910" spans="6:8">
      <c r="F910" s="35"/>
      <c r="G910" s="35"/>
      <c r="H910" s="35"/>
    </row>
    <row r="911" spans="6:8">
      <c r="F911" s="35"/>
      <c r="G911" s="35"/>
      <c r="H911" s="35"/>
    </row>
    <row r="912" spans="6:8">
      <c r="F912" s="35"/>
      <c r="G912" s="35"/>
      <c r="H912" s="35"/>
    </row>
    <row r="913" spans="6:8">
      <c r="F913" s="35"/>
      <c r="G913" s="35"/>
      <c r="H913" s="35"/>
    </row>
    <row r="914" spans="6:8">
      <c r="F914" s="35"/>
      <c r="G914" s="35"/>
      <c r="H914" s="35"/>
    </row>
    <row r="915" spans="6:8">
      <c r="F915" s="35"/>
      <c r="G915" s="35"/>
      <c r="H915" s="35"/>
    </row>
    <row r="916" spans="6:8">
      <c r="F916" s="35"/>
      <c r="G916" s="35"/>
      <c r="H916" s="35"/>
    </row>
    <row r="917" spans="6:8">
      <c r="F917" s="35"/>
      <c r="G917" s="35"/>
      <c r="H917" s="35"/>
    </row>
    <row r="918" spans="6:8">
      <c r="F918" s="35"/>
      <c r="G918" s="35"/>
      <c r="H918" s="35"/>
    </row>
    <row r="919" spans="6:8">
      <c r="F919" s="35"/>
      <c r="G919" s="35"/>
      <c r="H919" s="35"/>
    </row>
    <row r="920" spans="6:8">
      <c r="F920" s="35"/>
      <c r="G920" s="35"/>
      <c r="H920" s="35"/>
    </row>
    <row r="921" spans="6:8">
      <c r="F921" s="35"/>
      <c r="G921" s="35"/>
      <c r="H921" s="35"/>
    </row>
    <row r="922" spans="6:8">
      <c r="F922" s="35"/>
      <c r="G922" s="35"/>
      <c r="H922" s="35"/>
    </row>
    <row r="923" spans="6:8">
      <c r="F923" s="35"/>
      <c r="G923" s="35"/>
      <c r="H923" s="35"/>
    </row>
    <row r="924" spans="6:8">
      <c r="F924" s="35"/>
      <c r="G924" s="35"/>
      <c r="H924" s="35"/>
    </row>
    <row r="925" spans="6:8">
      <c r="F925" s="35"/>
      <c r="G925" s="35"/>
      <c r="H925" s="35"/>
    </row>
    <row r="926" spans="6:8">
      <c r="F926" s="35"/>
      <c r="G926" s="35"/>
      <c r="H926" s="35"/>
    </row>
    <row r="927" spans="6:8">
      <c r="F927" s="35"/>
      <c r="G927" s="35"/>
      <c r="H927" s="35"/>
    </row>
    <row r="928" spans="6:8">
      <c r="F928" s="35"/>
      <c r="G928" s="35"/>
      <c r="H928" s="35"/>
    </row>
    <row r="929" spans="6:8">
      <c r="F929" s="35"/>
      <c r="G929" s="35"/>
      <c r="H929" s="35"/>
    </row>
    <row r="930" spans="6:8">
      <c r="F930" s="35"/>
      <c r="G930" s="35"/>
      <c r="H930" s="35"/>
    </row>
    <row r="931" spans="6:8">
      <c r="F931" s="35"/>
      <c r="G931" s="35"/>
      <c r="H931" s="35"/>
    </row>
    <row r="932" spans="6:8">
      <c r="F932" s="35"/>
      <c r="G932" s="35"/>
      <c r="H932" s="35"/>
    </row>
    <row r="933" spans="6:8">
      <c r="F933" s="35"/>
      <c r="G933" s="35"/>
      <c r="H933" s="35"/>
    </row>
    <row r="934" spans="6:8">
      <c r="F934" s="35"/>
      <c r="G934" s="35"/>
      <c r="H934" s="35"/>
    </row>
    <row r="935" spans="6:8">
      <c r="F935" s="35"/>
      <c r="G935" s="35"/>
      <c r="H935" s="35"/>
    </row>
    <row r="936" spans="6:8">
      <c r="F936" s="35"/>
      <c r="G936" s="35"/>
      <c r="H936" s="35"/>
    </row>
    <row r="937" spans="6:8">
      <c r="F937" s="35"/>
      <c r="G937" s="35"/>
      <c r="H937" s="35"/>
    </row>
    <row r="938" spans="6:8">
      <c r="F938" s="35"/>
      <c r="G938" s="35"/>
      <c r="H938" s="35"/>
    </row>
    <row r="939" spans="6:8">
      <c r="F939" s="35"/>
      <c r="G939" s="35"/>
      <c r="H939" s="35"/>
    </row>
    <row r="940" spans="6:8">
      <c r="F940" s="35"/>
      <c r="G940" s="35"/>
      <c r="H940" s="35"/>
    </row>
    <row r="941" spans="6:8">
      <c r="F941" s="35"/>
      <c r="G941" s="35"/>
      <c r="H941" s="35"/>
    </row>
    <row r="942" spans="6:8">
      <c r="F942" s="35"/>
      <c r="G942" s="35"/>
      <c r="H942" s="35"/>
    </row>
    <row r="943" spans="6:8">
      <c r="F943" s="35"/>
      <c r="G943" s="35"/>
      <c r="H943" s="35"/>
    </row>
    <row r="944" spans="6:8">
      <c r="F944" s="35"/>
      <c r="G944" s="35"/>
      <c r="H944" s="35"/>
    </row>
    <row r="945" spans="6:8">
      <c r="F945" s="35"/>
      <c r="G945" s="35"/>
      <c r="H945" s="35"/>
    </row>
    <row r="946" spans="6:8">
      <c r="F946" s="35"/>
      <c r="G946" s="35"/>
      <c r="H946" s="35"/>
    </row>
    <row r="947" spans="6:8">
      <c r="F947" s="35"/>
      <c r="G947" s="35"/>
      <c r="H947" s="35"/>
    </row>
    <row r="948" spans="6:8">
      <c r="F948" s="35"/>
      <c r="G948" s="35"/>
      <c r="H948" s="35"/>
    </row>
    <row r="949" spans="6:8">
      <c r="F949" s="35"/>
      <c r="G949" s="35"/>
      <c r="H949" s="35"/>
    </row>
    <row r="950" spans="6:8">
      <c r="F950" s="35"/>
      <c r="G950" s="35"/>
      <c r="H950" s="35"/>
    </row>
    <row r="951" spans="6:8">
      <c r="F951" s="35"/>
      <c r="G951" s="35"/>
      <c r="H951" s="35"/>
    </row>
    <row r="952" spans="6:8">
      <c r="F952" s="35"/>
      <c r="G952" s="35"/>
      <c r="H952" s="35"/>
    </row>
    <row r="953" spans="6:8">
      <c r="F953" s="35"/>
      <c r="G953" s="35"/>
      <c r="H953" s="35"/>
    </row>
    <row r="954" spans="6:8">
      <c r="F954" s="35"/>
      <c r="G954" s="35"/>
      <c r="H954" s="35"/>
    </row>
    <row r="955" spans="6:8">
      <c r="F955" s="35"/>
      <c r="G955" s="35"/>
      <c r="H955" s="35"/>
    </row>
    <row r="956" spans="6:8">
      <c r="F956" s="35"/>
      <c r="G956" s="35"/>
      <c r="H956" s="35"/>
    </row>
    <row r="957" spans="6:8">
      <c r="F957" s="35"/>
      <c r="G957" s="35"/>
      <c r="H957" s="35"/>
    </row>
    <row r="958" spans="6:8">
      <c r="F958" s="35"/>
      <c r="G958" s="35"/>
      <c r="H958" s="35"/>
    </row>
    <row r="959" spans="6:8">
      <c r="F959" s="35"/>
      <c r="G959" s="35"/>
      <c r="H959" s="35"/>
    </row>
    <row r="960" spans="6:8">
      <c r="F960" s="35"/>
      <c r="G960" s="35"/>
      <c r="H960" s="35"/>
    </row>
    <row r="961" spans="6:8">
      <c r="F961" s="35"/>
      <c r="G961" s="35"/>
      <c r="H961" s="35"/>
    </row>
    <row r="962" spans="6:8">
      <c r="F962" s="35"/>
      <c r="G962" s="35"/>
      <c r="H962" s="35"/>
    </row>
    <row r="963" spans="6:8">
      <c r="F963" s="35"/>
      <c r="G963" s="35"/>
      <c r="H963" s="35"/>
    </row>
    <row r="964" spans="6:8">
      <c r="F964" s="35"/>
      <c r="G964" s="35"/>
      <c r="H964" s="35"/>
    </row>
    <row r="965" spans="6:8">
      <c r="F965" s="35"/>
      <c r="G965" s="35"/>
      <c r="H965" s="35"/>
    </row>
    <row r="966" spans="6:8">
      <c r="F966" s="35"/>
      <c r="G966" s="35"/>
      <c r="H966" s="35"/>
    </row>
    <row r="967" spans="6:8">
      <c r="F967" s="35"/>
      <c r="G967" s="35"/>
      <c r="H967" s="35"/>
    </row>
    <row r="968" spans="6:8">
      <c r="F968" s="35"/>
      <c r="G968" s="35"/>
      <c r="H968" s="35"/>
    </row>
    <row r="969" spans="6:8">
      <c r="F969" s="35"/>
      <c r="G969" s="35"/>
      <c r="H969" s="35"/>
    </row>
    <row r="970" spans="6:8">
      <c r="F970" s="35"/>
      <c r="G970" s="35"/>
      <c r="H970" s="35"/>
    </row>
    <row r="971" spans="6:8">
      <c r="F971" s="35"/>
      <c r="G971" s="35"/>
      <c r="H971" s="35"/>
    </row>
    <row r="972" spans="6:8">
      <c r="F972" s="35"/>
      <c r="G972" s="35"/>
      <c r="H972" s="35"/>
    </row>
    <row r="973" spans="6:8">
      <c r="F973" s="35"/>
      <c r="G973" s="35"/>
      <c r="H973" s="35"/>
    </row>
    <row r="974" spans="6:8">
      <c r="F974" s="35"/>
      <c r="G974" s="35"/>
      <c r="H974" s="35"/>
    </row>
    <row r="975" spans="6:8">
      <c r="F975" s="35"/>
      <c r="G975" s="35"/>
      <c r="H975" s="35"/>
    </row>
    <row r="976" spans="6:8">
      <c r="F976" s="35"/>
      <c r="G976" s="35"/>
      <c r="H976" s="35"/>
    </row>
    <row r="977" spans="6:8">
      <c r="F977" s="35"/>
      <c r="G977" s="35"/>
      <c r="H977" s="35"/>
    </row>
    <row r="978" spans="6:8">
      <c r="F978" s="35"/>
      <c r="G978" s="35"/>
      <c r="H978" s="35"/>
    </row>
    <row r="979" spans="6:8">
      <c r="F979" s="35"/>
      <c r="G979" s="35"/>
      <c r="H979" s="35"/>
    </row>
    <row r="980" spans="6:8">
      <c r="F980" s="35"/>
      <c r="G980" s="35"/>
      <c r="H980" s="35"/>
    </row>
    <row r="981" spans="6:8">
      <c r="F981" s="35"/>
      <c r="G981" s="35"/>
      <c r="H981" s="35"/>
    </row>
    <row r="982" spans="6:8">
      <c r="F982" s="35"/>
      <c r="G982" s="35"/>
      <c r="H982" s="35"/>
    </row>
    <row r="983" spans="6:8">
      <c r="F983" s="35"/>
      <c r="G983" s="35"/>
      <c r="H983" s="35"/>
    </row>
    <row r="984" spans="6:8">
      <c r="F984" s="35"/>
      <c r="G984" s="35"/>
      <c r="H984" s="35"/>
    </row>
    <row r="985" spans="6:8">
      <c r="F985" s="35"/>
      <c r="G985" s="35"/>
      <c r="H985" s="35"/>
    </row>
    <row r="986" spans="6:8">
      <c r="F986" s="35"/>
      <c r="G986" s="35"/>
      <c r="H986" s="35"/>
    </row>
    <row r="987" spans="6:8">
      <c r="F987" s="35"/>
      <c r="G987" s="35"/>
      <c r="H987" s="35"/>
    </row>
    <row r="988" spans="6:8">
      <c r="F988" s="35"/>
      <c r="G988" s="35"/>
      <c r="H988" s="35"/>
    </row>
    <row r="989" spans="6:8">
      <c r="F989" s="35"/>
      <c r="G989" s="35"/>
      <c r="H989" s="35"/>
    </row>
    <row r="990" spans="6:8">
      <c r="F990" s="35"/>
      <c r="G990" s="35"/>
      <c r="H990" s="35"/>
    </row>
    <row r="991" spans="6:8">
      <c r="F991" s="35"/>
      <c r="G991" s="35"/>
      <c r="H991" s="35"/>
    </row>
    <row r="992" spans="6:8">
      <c r="F992" s="35"/>
      <c r="G992" s="35"/>
      <c r="H992" s="35"/>
    </row>
    <row r="993" spans="6:8">
      <c r="F993" s="35"/>
      <c r="G993" s="35"/>
      <c r="H993" s="35"/>
    </row>
    <row r="994" spans="6:8">
      <c r="F994" s="35"/>
      <c r="G994" s="35"/>
      <c r="H994" s="35"/>
    </row>
    <row r="995" spans="6:8">
      <c r="F995" s="35"/>
      <c r="G995" s="35"/>
      <c r="H995" s="35"/>
    </row>
    <row r="996" spans="6:8">
      <c r="F996" s="35"/>
      <c r="G996" s="35"/>
      <c r="H996" s="35"/>
    </row>
    <row r="997" spans="6:8">
      <c r="F997" s="35"/>
      <c r="G997" s="35"/>
      <c r="H997" s="35"/>
    </row>
    <row r="998" spans="6:8">
      <c r="F998" s="35"/>
      <c r="G998" s="35"/>
      <c r="H998" s="35"/>
    </row>
    <row r="999" spans="6:8">
      <c r="F999" s="35"/>
      <c r="G999" s="35"/>
      <c r="H999" s="35"/>
    </row>
    <row r="1000" spans="6:8">
      <c r="F1000" s="35"/>
      <c r="G1000" s="35"/>
      <c r="H1000" s="35"/>
    </row>
  </sheetData>
  <autoFilter ref="A1:H66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55"/>
  <sheetViews>
    <sheetView workbookViewId="0">
      <pane ySplit="1" topLeftCell="A2" activePane="bottomLeft" state="frozen"/>
      <selection pane="bottomLeft"/>
    </sheetView>
  </sheetViews>
  <sheetFormatPr defaultRowHeight="13.2"/>
  <cols>
    <col min="1" max="1" width="6" style="36" customWidth="1"/>
    <col min="2" max="2" width="15" style="36" customWidth="1"/>
    <col min="3" max="3" width="60" style="36" customWidth="1"/>
    <col min="4" max="4" width="13" style="36" customWidth="1"/>
    <col min="5" max="5" width="10" style="36" customWidth="1"/>
    <col min="6" max="6" width="42" style="36" customWidth="1"/>
    <col min="7" max="7" width="10" style="36" customWidth="1"/>
    <col min="8" max="8" width="9" style="36" customWidth="1"/>
    <col min="9" max="9" width="15" style="36" customWidth="1"/>
    <col min="10" max="10" width="16" style="36" customWidth="1"/>
  </cols>
  <sheetData>
    <row r="1" spans="1:10">
      <c r="A1" s="42" t="s">
        <v>360</v>
      </c>
      <c r="B1" s="42" t="s">
        <v>2</v>
      </c>
      <c r="C1" s="42" t="s">
        <v>361</v>
      </c>
      <c r="D1" s="42" t="s">
        <v>362</v>
      </c>
      <c r="E1" s="42" t="s">
        <v>363</v>
      </c>
      <c r="F1" s="42" t="s">
        <v>364</v>
      </c>
      <c r="G1" s="42" t="s">
        <v>365</v>
      </c>
      <c r="H1" s="42" t="s">
        <v>366</v>
      </c>
      <c r="I1" s="42" t="s">
        <v>367</v>
      </c>
      <c r="J1" s="42" t="s">
        <v>368</v>
      </c>
    </row>
    <row r="2" spans="1:10">
      <c r="A2" s="43">
        <v>1</v>
      </c>
      <c r="B2" s="44">
        <v>311202004731</v>
      </c>
      <c r="C2" s="45" t="s">
        <v>369</v>
      </c>
      <c r="D2" s="44">
        <v>4600253989</v>
      </c>
      <c r="E2" s="44">
        <v>3003571</v>
      </c>
      <c r="F2" s="45" t="s">
        <v>370</v>
      </c>
      <c r="G2" s="46">
        <v>1</v>
      </c>
      <c r="H2" s="43" t="s">
        <v>371</v>
      </c>
      <c r="I2" s="46">
        <v>821630</v>
      </c>
      <c r="J2" s="46">
        <f t="shared" ref="J2:J65" si="0">G2*I2</f>
        <v>821630</v>
      </c>
    </row>
    <row r="3" spans="1:10">
      <c r="A3" s="43">
        <v>2</v>
      </c>
      <c r="B3" s="44">
        <v>311202004731</v>
      </c>
      <c r="C3" s="45" t="s">
        <v>369</v>
      </c>
      <c r="D3" s="44">
        <v>4600253989</v>
      </c>
      <c r="E3" s="44">
        <v>3003572</v>
      </c>
      <c r="F3" s="45" t="s">
        <v>372</v>
      </c>
      <c r="G3" s="46">
        <v>1050</v>
      </c>
      <c r="H3" s="43" t="s">
        <v>373</v>
      </c>
      <c r="I3" s="46">
        <v>4094</v>
      </c>
      <c r="J3" s="46">
        <f t="shared" si="0"/>
        <v>4298700</v>
      </c>
    </row>
    <row r="4" spans="1:10">
      <c r="A4" s="43">
        <v>3</v>
      </c>
      <c r="B4" s="44">
        <v>311202004731</v>
      </c>
      <c r="C4" s="45" t="s">
        <v>369</v>
      </c>
      <c r="D4" s="44">
        <v>4600253989</v>
      </c>
      <c r="E4" s="44">
        <v>3003577</v>
      </c>
      <c r="F4" s="45" t="s">
        <v>374</v>
      </c>
      <c r="G4" s="46">
        <v>3</v>
      </c>
      <c r="H4" s="43" t="s">
        <v>375</v>
      </c>
      <c r="I4" s="46">
        <v>47159</v>
      </c>
      <c r="J4" s="46">
        <f t="shared" si="0"/>
        <v>141477</v>
      </c>
    </row>
    <row r="5" spans="1:10">
      <c r="A5" s="43">
        <v>4</v>
      </c>
      <c r="B5" s="44">
        <v>311202004731</v>
      </c>
      <c r="C5" s="45" t="s">
        <v>369</v>
      </c>
      <c r="D5" s="44">
        <v>4600253989</v>
      </c>
      <c r="E5" s="44">
        <v>3003578</v>
      </c>
      <c r="F5" s="45" t="s">
        <v>376</v>
      </c>
      <c r="G5" s="46">
        <v>4</v>
      </c>
      <c r="H5" s="43" t="s">
        <v>375</v>
      </c>
      <c r="I5" s="46">
        <v>167349</v>
      </c>
      <c r="J5" s="46">
        <f t="shared" si="0"/>
        <v>669396</v>
      </c>
    </row>
    <row r="6" spans="1:10">
      <c r="A6" s="43">
        <v>5</v>
      </c>
      <c r="B6" s="44">
        <v>311202004731</v>
      </c>
      <c r="C6" s="45" t="s">
        <v>369</v>
      </c>
      <c r="D6" s="44">
        <v>4600253989</v>
      </c>
      <c r="E6" s="44">
        <v>3003579</v>
      </c>
      <c r="F6" s="45" t="s">
        <v>377</v>
      </c>
      <c r="G6" s="46">
        <v>2</v>
      </c>
      <c r="H6" s="43" t="s">
        <v>375</v>
      </c>
      <c r="I6" s="46">
        <v>42495</v>
      </c>
      <c r="J6" s="46">
        <f t="shared" si="0"/>
        <v>84990</v>
      </c>
    </row>
    <row r="7" spans="1:10">
      <c r="A7" s="43">
        <v>6</v>
      </c>
      <c r="B7" s="44">
        <v>311202004731</v>
      </c>
      <c r="C7" s="45" t="s">
        <v>369</v>
      </c>
      <c r="D7" s="44">
        <v>4600253989</v>
      </c>
      <c r="E7" s="44">
        <v>3003581</v>
      </c>
      <c r="F7" s="45" t="s">
        <v>378</v>
      </c>
      <c r="G7" s="46">
        <v>22</v>
      </c>
      <c r="H7" s="43" t="s">
        <v>379</v>
      </c>
      <c r="I7" s="46">
        <v>11384</v>
      </c>
      <c r="J7" s="46">
        <f t="shared" si="0"/>
        <v>250448</v>
      </c>
    </row>
    <row r="8" spans="1:10">
      <c r="A8" s="43">
        <v>7</v>
      </c>
      <c r="B8" s="44">
        <v>311202004731</v>
      </c>
      <c r="C8" s="45" t="s">
        <v>369</v>
      </c>
      <c r="D8" s="44">
        <v>4600253989</v>
      </c>
      <c r="E8" s="44">
        <v>3003594</v>
      </c>
      <c r="F8" s="45" t="s">
        <v>380</v>
      </c>
      <c r="G8" s="46">
        <v>1</v>
      </c>
      <c r="H8" s="43" t="s">
        <v>375</v>
      </c>
      <c r="I8" s="46">
        <v>566072</v>
      </c>
      <c r="J8" s="46">
        <f t="shared" si="0"/>
        <v>566072</v>
      </c>
    </row>
    <row r="9" spans="1:10">
      <c r="A9" s="43">
        <v>8</v>
      </c>
      <c r="B9" s="44">
        <v>311202004731</v>
      </c>
      <c r="C9" s="45" t="s">
        <v>369</v>
      </c>
      <c r="D9" s="44">
        <v>4600253989</v>
      </c>
      <c r="E9" s="44">
        <v>3003598</v>
      </c>
      <c r="F9" s="45" t="s">
        <v>381</v>
      </c>
      <c r="G9" s="46">
        <v>6</v>
      </c>
      <c r="H9" s="43" t="s">
        <v>379</v>
      </c>
      <c r="I9" s="46">
        <v>104353</v>
      </c>
      <c r="J9" s="46">
        <f t="shared" si="0"/>
        <v>626118</v>
      </c>
    </row>
    <row r="10" spans="1:10">
      <c r="A10" s="43">
        <v>9</v>
      </c>
      <c r="B10" s="44">
        <v>311202004731</v>
      </c>
      <c r="C10" s="45" t="s">
        <v>369</v>
      </c>
      <c r="D10" s="44">
        <v>4600253989</v>
      </c>
      <c r="E10" s="44">
        <v>3003599</v>
      </c>
      <c r="F10" s="45" t="s">
        <v>382</v>
      </c>
      <c r="G10" s="46">
        <v>16</v>
      </c>
      <c r="H10" s="43" t="s">
        <v>379</v>
      </c>
      <c r="I10" s="46">
        <v>72382</v>
      </c>
      <c r="J10" s="46">
        <f t="shared" si="0"/>
        <v>1158112</v>
      </c>
    </row>
    <row r="11" spans="1:10">
      <c r="A11" s="43">
        <v>10</v>
      </c>
      <c r="B11" s="44">
        <v>311202004731</v>
      </c>
      <c r="C11" s="45" t="s">
        <v>369</v>
      </c>
      <c r="D11" s="44">
        <v>4600253989</v>
      </c>
      <c r="E11" s="44">
        <v>3003607</v>
      </c>
      <c r="F11" s="45" t="s">
        <v>383</v>
      </c>
      <c r="G11" s="46">
        <v>2</v>
      </c>
      <c r="H11" s="43" t="s">
        <v>379</v>
      </c>
      <c r="I11" s="46">
        <v>149131</v>
      </c>
      <c r="J11" s="46">
        <f t="shared" si="0"/>
        <v>298262</v>
      </c>
    </row>
    <row r="12" spans="1:10">
      <c r="A12" s="43">
        <v>11</v>
      </c>
      <c r="B12" s="44">
        <v>311202004731</v>
      </c>
      <c r="C12" s="45" t="s">
        <v>369</v>
      </c>
      <c r="D12" s="44">
        <v>4600253989</v>
      </c>
      <c r="E12" s="44">
        <v>3003618</v>
      </c>
      <c r="F12" s="45" t="s">
        <v>384</v>
      </c>
      <c r="G12" s="46">
        <v>1</v>
      </c>
      <c r="H12" s="43" t="s">
        <v>379</v>
      </c>
      <c r="I12" s="46">
        <v>1089630</v>
      </c>
      <c r="J12" s="46">
        <f t="shared" si="0"/>
        <v>1089630</v>
      </c>
    </row>
    <row r="13" spans="1:10">
      <c r="A13" s="43">
        <v>12</v>
      </c>
      <c r="B13" s="44">
        <v>311202004731</v>
      </c>
      <c r="C13" s="45" t="s">
        <v>369</v>
      </c>
      <c r="D13" s="44">
        <v>4600253989</v>
      </c>
      <c r="E13" s="44">
        <v>3003623</v>
      </c>
      <c r="F13" s="45" t="s">
        <v>385</v>
      </c>
      <c r="G13" s="46">
        <v>1</v>
      </c>
      <c r="H13" s="43" t="s">
        <v>379</v>
      </c>
      <c r="I13" s="46">
        <v>987673</v>
      </c>
      <c r="J13" s="46">
        <f t="shared" si="0"/>
        <v>987673</v>
      </c>
    </row>
    <row r="14" spans="1:10">
      <c r="A14" s="43">
        <v>13</v>
      </c>
      <c r="B14" s="44">
        <v>311202004734</v>
      </c>
      <c r="C14" s="45" t="s">
        <v>386</v>
      </c>
      <c r="D14" s="44">
        <v>4600066257</v>
      </c>
      <c r="E14" s="44">
        <v>3003571</v>
      </c>
      <c r="F14" s="45" t="s">
        <v>370</v>
      </c>
      <c r="G14" s="46">
        <v>1</v>
      </c>
      <c r="H14" s="43" t="s">
        <v>371</v>
      </c>
      <c r="I14" s="46">
        <v>821630</v>
      </c>
      <c r="J14" s="46">
        <f t="shared" si="0"/>
        <v>821630</v>
      </c>
    </row>
    <row r="15" spans="1:10">
      <c r="A15" s="43">
        <v>14</v>
      </c>
      <c r="B15" s="44">
        <v>311202004734</v>
      </c>
      <c r="C15" s="45" t="s">
        <v>386</v>
      </c>
      <c r="D15" s="44">
        <v>4600066257</v>
      </c>
      <c r="E15" s="44">
        <v>3003578</v>
      </c>
      <c r="F15" s="45" t="s">
        <v>376</v>
      </c>
      <c r="G15" s="46">
        <v>4</v>
      </c>
      <c r="H15" s="43" t="s">
        <v>375</v>
      </c>
      <c r="I15" s="46">
        <v>167349</v>
      </c>
      <c r="J15" s="46">
        <f t="shared" si="0"/>
        <v>669396</v>
      </c>
    </row>
    <row r="16" spans="1:10">
      <c r="A16" s="43">
        <v>15</v>
      </c>
      <c r="B16" s="44">
        <v>311202004734</v>
      </c>
      <c r="C16" s="45" t="s">
        <v>386</v>
      </c>
      <c r="D16" s="44">
        <v>4600066257</v>
      </c>
      <c r="E16" s="44">
        <v>3003586</v>
      </c>
      <c r="F16" s="45" t="s">
        <v>387</v>
      </c>
      <c r="G16" s="46">
        <v>1</v>
      </c>
      <c r="H16" s="43" t="s">
        <v>371</v>
      </c>
      <c r="I16" s="46">
        <v>6390012</v>
      </c>
      <c r="J16" s="46">
        <f t="shared" si="0"/>
        <v>6390012</v>
      </c>
    </row>
    <row r="17" spans="1:10">
      <c r="A17" s="43">
        <v>16</v>
      </c>
      <c r="B17" s="44">
        <v>311202004734</v>
      </c>
      <c r="C17" s="45" t="s">
        <v>386</v>
      </c>
      <c r="D17" s="44">
        <v>4600066257</v>
      </c>
      <c r="E17" s="44">
        <v>3003609</v>
      </c>
      <c r="F17" s="45" t="s">
        <v>388</v>
      </c>
      <c r="G17" s="46">
        <v>2</v>
      </c>
      <c r="H17" s="43" t="s">
        <v>379</v>
      </c>
      <c r="I17" s="46">
        <v>222219</v>
      </c>
      <c r="J17" s="46">
        <f t="shared" si="0"/>
        <v>444438</v>
      </c>
    </row>
    <row r="18" spans="1:10">
      <c r="A18" s="43">
        <v>17</v>
      </c>
      <c r="B18" s="44">
        <v>311202004734</v>
      </c>
      <c r="C18" s="45" t="s">
        <v>386</v>
      </c>
      <c r="D18" s="44">
        <v>4600066257</v>
      </c>
      <c r="E18" s="44">
        <v>3003622</v>
      </c>
      <c r="F18" s="45" t="s">
        <v>389</v>
      </c>
      <c r="G18" s="46">
        <v>1</v>
      </c>
      <c r="H18" s="43" t="s">
        <v>379</v>
      </c>
      <c r="I18" s="46">
        <v>988293</v>
      </c>
      <c r="J18" s="46">
        <f t="shared" si="0"/>
        <v>988293</v>
      </c>
    </row>
    <row r="19" spans="1:10">
      <c r="A19" s="43">
        <v>18</v>
      </c>
      <c r="B19" s="44">
        <v>311202004688</v>
      </c>
      <c r="C19" s="45" t="s">
        <v>390</v>
      </c>
      <c r="D19" s="44">
        <v>4600068576</v>
      </c>
      <c r="E19" s="44">
        <v>3003571</v>
      </c>
      <c r="F19" s="45" t="s">
        <v>370</v>
      </c>
      <c r="G19" s="46">
        <v>1</v>
      </c>
      <c r="H19" s="43" t="s">
        <v>371</v>
      </c>
      <c r="I19" s="46">
        <v>821630</v>
      </c>
      <c r="J19" s="46">
        <f t="shared" si="0"/>
        <v>821630</v>
      </c>
    </row>
    <row r="20" spans="1:10">
      <c r="A20" s="43">
        <v>19</v>
      </c>
      <c r="B20" s="44">
        <v>311202004688</v>
      </c>
      <c r="C20" s="45" t="s">
        <v>390</v>
      </c>
      <c r="D20" s="44">
        <v>4600068576</v>
      </c>
      <c r="E20" s="44">
        <v>3003572</v>
      </c>
      <c r="F20" s="45" t="s">
        <v>372</v>
      </c>
      <c r="G20" s="46">
        <v>2800</v>
      </c>
      <c r="H20" s="43" t="s">
        <v>373</v>
      </c>
      <c r="I20" s="46">
        <v>4094</v>
      </c>
      <c r="J20" s="46">
        <f t="shared" si="0"/>
        <v>11463200</v>
      </c>
    </row>
    <row r="21" spans="1:10">
      <c r="A21" s="43">
        <v>20</v>
      </c>
      <c r="B21" s="44">
        <v>311202004688</v>
      </c>
      <c r="C21" s="45" t="s">
        <v>390</v>
      </c>
      <c r="D21" s="44">
        <v>4600068576</v>
      </c>
      <c r="E21" s="44">
        <v>3003581</v>
      </c>
      <c r="F21" s="45" t="s">
        <v>378</v>
      </c>
      <c r="G21" s="46">
        <v>51</v>
      </c>
      <c r="H21" s="43" t="s">
        <v>379</v>
      </c>
      <c r="I21" s="46">
        <v>11384</v>
      </c>
      <c r="J21" s="46">
        <f t="shared" si="0"/>
        <v>580584</v>
      </c>
    </row>
    <row r="22" spans="1:10">
      <c r="A22" s="43">
        <v>21</v>
      </c>
      <c r="B22" s="44">
        <v>311202004688</v>
      </c>
      <c r="C22" s="45" t="s">
        <v>390</v>
      </c>
      <c r="D22" s="44">
        <v>4600068576</v>
      </c>
      <c r="E22" s="44">
        <v>3003582</v>
      </c>
      <c r="F22" s="45" t="s">
        <v>391</v>
      </c>
      <c r="G22" s="46">
        <v>8</v>
      </c>
      <c r="H22" s="43" t="s">
        <v>371</v>
      </c>
      <c r="I22" s="46">
        <v>11384</v>
      </c>
      <c r="J22" s="46">
        <f t="shared" si="0"/>
        <v>91072</v>
      </c>
    </row>
    <row r="23" spans="1:10">
      <c r="A23" s="43">
        <v>22</v>
      </c>
      <c r="B23" s="44">
        <v>311202004688</v>
      </c>
      <c r="C23" s="45" t="s">
        <v>390</v>
      </c>
      <c r="D23" s="44">
        <v>4600068576</v>
      </c>
      <c r="E23" s="44">
        <v>3003594</v>
      </c>
      <c r="F23" s="45" t="s">
        <v>380</v>
      </c>
      <c r="G23" s="46">
        <v>3</v>
      </c>
      <c r="H23" s="43" t="s">
        <v>375</v>
      </c>
      <c r="I23" s="46">
        <v>566072</v>
      </c>
      <c r="J23" s="46">
        <f t="shared" si="0"/>
        <v>1698216</v>
      </c>
    </row>
    <row r="24" spans="1:10">
      <c r="A24" s="43">
        <v>23</v>
      </c>
      <c r="B24" s="44">
        <v>311202004688</v>
      </c>
      <c r="C24" s="45" t="s">
        <v>390</v>
      </c>
      <c r="D24" s="44">
        <v>4600068576</v>
      </c>
      <c r="E24" s="44">
        <v>3003598</v>
      </c>
      <c r="F24" s="45" t="s">
        <v>381</v>
      </c>
      <c r="G24" s="46">
        <v>14</v>
      </c>
      <c r="H24" s="43" t="s">
        <v>379</v>
      </c>
      <c r="I24" s="46">
        <v>104353</v>
      </c>
      <c r="J24" s="46">
        <f t="shared" si="0"/>
        <v>1460942</v>
      </c>
    </row>
    <row r="25" spans="1:10">
      <c r="A25" s="43">
        <v>24</v>
      </c>
      <c r="B25" s="44">
        <v>311202004688</v>
      </c>
      <c r="C25" s="45" t="s">
        <v>390</v>
      </c>
      <c r="D25" s="44">
        <v>4600068576</v>
      </c>
      <c r="E25" s="44">
        <v>3003599</v>
      </c>
      <c r="F25" s="45" t="s">
        <v>382</v>
      </c>
      <c r="G25" s="46">
        <v>37</v>
      </c>
      <c r="H25" s="43" t="s">
        <v>379</v>
      </c>
      <c r="I25" s="46">
        <v>72382</v>
      </c>
      <c r="J25" s="46">
        <f t="shared" si="0"/>
        <v>2678134</v>
      </c>
    </row>
    <row r="26" spans="1:10">
      <c r="A26" s="43">
        <v>25</v>
      </c>
      <c r="B26" s="44">
        <v>311202004688</v>
      </c>
      <c r="C26" s="45" t="s">
        <v>390</v>
      </c>
      <c r="D26" s="44">
        <v>4600068576</v>
      </c>
      <c r="E26" s="44">
        <v>3003608</v>
      </c>
      <c r="F26" s="45" t="s">
        <v>392</v>
      </c>
      <c r="G26" s="46">
        <v>4</v>
      </c>
      <c r="H26" s="43" t="s">
        <v>379</v>
      </c>
      <c r="I26" s="46">
        <v>172562</v>
      </c>
      <c r="J26" s="46">
        <f t="shared" si="0"/>
        <v>690248</v>
      </c>
    </row>
    <row r="27" spans="1:10">
      <c r="A27" s="43">
        <v>26</v>
      </c>
      <c r="B27" s="44">
        <v>311202004688</v>
      </c>
      <c r="C27" s="45" t="s">
        <v>390</v>
      </c>
      <c r="D27" s="44">
        <v>4600068576</v>
      </c>
      <c r="E27" s="44">
        <v>3003618</v>
      </c>
      <c r="F27" s="45" t="s">
        <v>384</v>
      </c>
      <c r="G27" s="46">
        <v>1</v>
      </c>
      <c r="H27" s="43" t="s">
        <v>379</v>
      </c>
      <c r="I27" s="46">
        <v>1089630</v>
      </c>
      <c r="J27" s="46">
        <f t="shared" si="0"/>
        <v>1089630</v>
      </c>
    </row>
    <row r="28" spans="1:10">
      <c r="A28" s="43">
        <v>27</v>
      </c>
      <c r="B28" s="44">
        <v>311202004688</v>
      </c>
      <c r="C28" s="45" t="s">
        <v>390</v>
      </c>
      <c r="D28" s="44">
        <v>4600068576</v>
      </c>
      <c r="E28" s="44">
        <v>3003660</v>
      </c>
      <c r="F28" s="45" t="s">
        <v>393</v>
      </c>
      <c r="G28" s="46">
        <v>1</v>
      </c>
      <c r="H28" s="43" t="s">
        <v>371</v>
      </c>
      <c r="I28" s="46">
        <v>717970</v>
      </c>
      <c r="J28" s="46">
        <f t="shared" si="0"/>
        <v>717970</v>
      </c>
    </row>
    <row r="29" spans="1:10">
      <c r="A29" s="43">
        <v>28</v>
      </c>
      <c r="B29" s="44">
        <v>311202004689</v>
      </c>
      <c r="C29" s="45" t="s">
        <v>394</v>
      </c>
      <c r="D29" s="44">
        <v>4600068992</v>
      </c>
      <c r="E29" s="44">
        <v>3003571</v>
      </c>
      <c r="F29" s="45" t="s">
        <v>370</v>
      </c>
      <c r="G29" s="46">
        <v>1</v>
      </c>
      <c r="H29" s="43" t="s">
        <v>371</v>
      </c>
      <c r="I29" s="46">
        <v>821630</v>
      </c>
      <c r="J29" s="46">
        <f t="shared" si="0"/>
        <v>821630</v>
      </c>
    </row>
    <row r="30" spans="1:10">
      <c r="A30" s="43">
        <v>29</v>
      </c>
      <c r="B30" s="44">
        <v>311202004689</v>
      </c>
      <c r="C30" s="45" t="s">
        <v>394</v>
      </c>
      <c r="D30" s="44">
        <v>4600068992</v>
      </c>
      <c r="E30" s="44">
        <v>3003578</v>
      </c>
      <c r="F30" s="45" t="s">
        <v>376</v>
      </c>
      <c r="G30" s="46">
        <v>4</v>
      </c>
      <c r="H30" s="43" t="s">
        <v>375</v>
      </c>
      <c r="I30" s="46">
        <v>167349</v>
      </c>
      <c r="J30" s="46">
        <f t="shared" si="0"/>
        <v>669396</v>
      </c>
    </row>
    <row r="31" spans="1:10">
      <c r="A31" s="43">
        <v>30</v>
      </c>
      <c r="B31" s="44">
        <v>311202004689</v>
      </c>
      <c r="C31" s="45" t="s">
        <v>394</v>
      </c>
      <c r="D31" s="44">
        <v>4600068992</v>
      </c>
      <c r="E31" s="44">
        <v>3003581</v>
      </c>
      <c r="F31" s="45" t="s">
        <v>378</v>
      </c>
      <c r="G31" s="46">
        <v>14</v>
      </c>
      <c r="H31" s="43" t="s">
        <v>379</v>
      </c>
      <c r="I31" s="46">
        <v>11384</v>
      </c>
      <c r="J31" s="46">
        <f t="shared" si="0"/>
        <v>159376</v>
      </c>
    </row>
    <row r="32" spans="1:10">
      <c r="A32" s="43">
        <v>31</v>
      </c>
      <c r="B32" s="44">
        <v>311202004689</v>
      </c>
      <c r="C32" s="45" t="s">
        <v>394</v>
      </c>
      <c r="D32" s="44">
        <v>4600068992</v>
      </c>
      <c r="E32" s="44">
        <v>3003582</v>
      </c>
      <c r="F32" s="45" t="s">
        <v>391</v>
      </c>
      <c r="G32" s="46">
        <v>1</v>
      </c>
      <c r="H32" s="43" t="s">
        <v>371</v>
      </c>
      <c r="I32" s="46">
        <v>11384</v>
      </c>
      <c r="J32" s="46">
        <f t="shared" si="0"/>
        <v>11384</v>
      </c>
    </row>
    <row r="33" spans="1:10">
      <c r="A33" s="43">
        <v>32</v>
      </c>
      <c r="B33" s="44">
        <v>311202004689</v>
      </c>
      <c r="C33" s="45" t="s">
        <v>394</v>
      </c>
      <c r="D33" s="44">
        <v>4600068992</v>
      </c>
      <c r="E33" s="44">
        <v>3003586</v>
      </c>
      <c r="F33" s="45" t="s">
        <v>387</v>
      </c>
      <c r="G33" s="46">
        <v>1</v>
      </c>
      <c r="H33" s="43" t="s">
        <v>371</v>
      </c>
      <c r="I33" s="46">
        <v>6390012</v>
      </c>
      <c r="J33" s="46">
        <f t="shared" si="0"/>
        <v>6390012</v>
      </c>
    </row>
    <row r="34" spans="1:10">
      <c r="A34" s="43">
        <v>33</v>
      </c>
      <c r="B34" s="44">
        <v>311202004689</v>
      </c>
      <c r="C34" s="45" t="s">
        <v>394</v>
      </c>
      <c r="D34" s="44">
        <v>4600068992</v>
      </c>
      <c r="E34" s="44">
        <v>3003594</v>
      </c>
      <c r="F34" s="45" t="s">
        <v>380</v>
      </c>
      <c r="G34" s="46">
        <v>1</v>
      </c>
      <c r="H34" s="43" t="s">
        <v>375</v>
      </c>
      <c r="I34" s="46">
        <v>566072</v>
      </c>
      <c r="J34" s="46">
        <f t="shared" si="0"/>
        <v>566072</v>
      </c>
    </row>
    <row r="35" spans="1:10">
      <c r="A35" s="43">
        <v>34</v>
      </c>
      <c r="B35" s="44">
        <v>311202004689</v>
      </c>
      <c r="C35" s="45" t="s">
        <v>394</v>
      </c>
      <c r="D35" s="44">
        <v>4600068992</v>
      </c>
      <c r="E35" s="44">
        <v>3003608</v>
      </c>
      <c r="F35" s="45" t="s">
        <v>392</v>
      </c>
      <c r="G35" s="46">
        <v>1</v>
      </c>
      <c r="H35" s="43" t="s">
        <v>379</v>
      </c>
      <c r="I35" s="46">
        <v>172562</v>
      </c>
      <c r="J35" s="46">
        <f t="shared" si="0"/>
        <v>172562</v>
      </c>
    </row>
    <row r="36" spans="1:10">
      <c r="A36" s="43">
        <v>35</v>
      </c>
      <c r="B36" s="44">
        <v>311202004689</v>
      </c>
      <c r="C36" s="45" t="s">
        <v>394</v>
      </c>
      <c r="D36" s="44">
        <v>4600068992</v>
      </c>
      <c r="E36" s="44">
        <v>3003622</v>
      </c>
      <c r="F36" s="45" t="s">
        <v>389</v>
      </c>
      <c r="G36" s="46">
        <v>1</v>
      </c>
      <c r="H36" s="43" t="s">
        <v>379</v>
      </c>
      <c r="I36" s="46">
        <v>988293</v>
      </c>
      <c r="J36" s="46">
        <f t="shared" si="0"/>
        <v>988293</v>
      </c>
    </row>
    <row r="37" spans="1:10">
      <c r="A37" s="43">
        <v>36</v>
      </c>
      <c r="B37" s="44">
        <v>311202004693</v>
      </c>
      <c r="C37" s="45" t="s">
        <v>395</v>
      </c>
      <c r="D37" s="44">
        <v>4600091887</v>
      </c>
      <c r="E37" s="44">
        <v>3003571</v>
      </c>
      <c r="F37" s="45" t="s">
        <v>370</v>
      </c>
      <c r="G37" s="46">
        <v>1</v>
      </c>
      <c r="H37" s="43" t="s">
        <v>371</v>
      </c>
      <c r="I37" s="46">
        <v>821630</v>
      </c>
      <c r="J37" s="46">
        <f t="shared" si="0"/>
        <v>821630</v>
      </c>
    </row>
    <row r="38" spans="1:10">
      <c r="A38" s="43">
        <v>37</v>
      </c>
      <c r="B38" s="44">
        <v>311202004693</v>
      </c>
      <c r="C38" s="45" t="s">
        <v>395</v>
      </c>
      <c r="D38" s="44">
        <v>4600091887</v>
      </c>
      <c r="E38" s="44">
        <v>3003578</v>
      </c>
      <c r="F38" s="45" t="s">
        <v>376</v>
      </c>
      <c r="G38" s="46">
        <v>2</v>
      </c>
      <c r="H38" s="43" t="s">
        <v>375</v>
      </c>
      <c r="I38" s="46">
        <v>167349</v>
      </c>
      <c r="J38" s="46">
        <f t="shared" si="0"/>
        <v>334698</v>
      </c>
    </row>
    <row r="39" spans="1:10">
      <c r="A39" s="43">
        <v>38</v>
      </c>
      <c r="B39" s="44">
        <v>311202004693</v>
      </c>
      <c r="C39" s="45" t="s">
        <v>395</v>
      </c>
      <c r="D39" s="44">
        <v>4600091887</v>
      </c>
      <c r="E39" s="44">
        <v>3003586</v>
      </c>
      <c r="F39" s="45" t="s">
        <v>387</v>
      </c>
      <c r="G39" s="46">
        <v>1</v>
      </c>
      <c r="H39" s="43" t="s">
        <v>371</v>
      </c>
      <c r="I39" s="46">
        <v>6390012</v>
      </c>
      <c r="J39" s="46">
        <f t="shared" si="0"/>
        <v>6390012</v>
      </c>
    </row>
    <row r="40" spans="1:10">
      <c r="A40" s="43">
        <v>39</v>
      </c>
      <c r="B40" s="44">
        <v>311202004693</v>
      </c>
      <c r="C40" s="45" t="s">
        <v>395</v>
      </c>
      <c r="D40" s="44">
        <v>4600091887</v>
      </c>
      <c r="E40" s="44">
        <v>3003607</v>
      </c>
      <c r="F40" s="45" t="s">
        <v>383</v>
      </c>
      <c r="G40" s="46">
        <v>2</v>
      </c>
      <c r="H40" s="43" t="s">
        <v>379</v>
      </c>
      <c r="I40" s="46">
        <v>149131</v>
      </c>
      <c r="J40" s="46">
        <f t="shared" si="0"/>
        <v>298262</v>
      </c>
    </row>
    <row r="41" spans="1:10">
      <c r="A41" s="43">
        <v>40</v>
      </c>
      <c r="B41" s="44">
        <v>311202004693</v>
      </c>
      <c r="C41" s="45" t="s">
        <v>395</v>
      </c>
      <c r="D41" s="44">
        <v>4600091887</v>
      </c>
      <c r="E41" s="44">
        <v>3003622</v>
      </c>
      <c r="F41" s="45" t="s">
        <v>389</v>
      </c>
      <c r="G41" s="46">
        <v>2</v>
      </c>
      <c r="H41" s="43" t="s">
        <v>379</v>
      </c>
      <c r="I41" s="46">
        <v>988293</v>
      </c>
      <c r="J41" s="46">
        <f t="shared" si="0"/>
        <v>1976586</v>
      </c>
    </row>
    <row r="42" spans="1:10">
      <c r="A42" s="43">
        <v>41</v>
      </c>
      <c r="B42" s="44">
        <v>311202004696</v>
      </c>
      <c r="C42" s="45" t="s">
        <v>396</v>
      </c>
      <c r="D42" s="44">
        <v>4600071418</v>
      </c>
      <c r="E42" s="44">
        <v>3003571</v>
      </c>
      <c r="F42" s="45" t="s">
        <v>370</v>
      </c>
      <c r="G42" s="46">
        <v>1</v>
      </c>
      <c r="H42" s="43" t="s">
        <v>371</v>
      </c>
      <c r="I42" s="46">
        <v>821630</v>
      </c>
      <c r="J42" s="46">
        <f t="shared" si="0"/>
        <v>821630</v>
      </c>
    </row>
    <row r="43" spans="1:10">
      <c r="A43" s="43">
        <v>42</v>
      </c>
      <c r="B43" s="44">
        <v>311202004696</v>
      </c>
      <c r="C43" s="45" t="s">
        <v>396</v>
      </c>
      <c r="D43" s="44">
        <v>4600071418</v>
      </c>
      <c r="E43" s="44">
        <v>3003572</v>
      </c>
      <c r="F43" s="45" t="s">
        <v>372</v>
      </c>
      <c r="G43" s="46">
        <v>1550</v>
      </c>
      <c r="H43" s="43" t="s">
        <v>373</v>
      </c>
      <c r="I43" s="46">
        <v>4094</v>
      </c>
      <c r="J43" s="46">
        <f t="shared" si="0"/>
        <v>6345700</v>
      </c>
    </row>
    <row r="44" spans="1:10">
      <c r="A44" s="43">
        <v>43</v>
      </c>
      <c r="B44" s="44">
        <v>311202004696</v>
      </c>
      <c r="C44" s="45" t="s">
        <v>396</v>
      </c>
      <c r="D44" s="44">
        <v>4600071418</v>
      </c>
      <c r="E44" s="44">
        <v>3003577</v>
      </c>
      <c r="F44" s="45" t="s">
        <v>374</v>
      </c>
      <c r="G44" s="46">
        <v>1</v>
      </c>
      <c r="H44" s="43" t="s">
        <v>375</v>
      </c>
      <c r="I44" s="46">
        <v>47159</v>
      </c>
      <c r="J44" s="46">
        <f t="shared" si="0"/>
        <v>47159</v>
      </c>
    </row>
    <row r="45" spans="1:10">
      <c r="A45" s="43">
        <v>44</v>
      </c>
      <c r="B45" s="44">
        <v>311202004696</v>
      </c>
      <c r="C45" s="45" t="s">
        <v>396</v>
      </c>
      <c r="D45" s="44">
        <v>4600071418</v>
      </c>
      <c r="E45" s="44">
        <v>3003578</v>
      </c>
      <c r="F45" s="45" t="s">
        <v>376</v>
      </c>
      <c r="G45" s="46">
        <v>1</v>
      </c>
      <c r="H45" s="43" t="s">
        <v>375</v>
      </c>
      <c r="I45" s="46">
        <v>167349</v>
      </c>
      <c r="J45" s="46">
        <f t="shared" si="0"/>
        <v>167349</v>
      </c>
    </row>
    <row r="46" spans="1:10">
      <c r="A46" s="43">
        <v>45</v>
      </c>
      <c r="B46" s="44">
        <v>311202004696</v>
      </c>
      <c r="C46" s="45" t="s">
        <v>396</v>
      </c>
      <c r="D46" s="44">
        <v>4600071418</v>
      </c>
      <c r="E46" s="44">
        <v>3003579</v>
      </c>
      <c r="F46" s="45" t="s">
        <v>377</v>
      </c>
      <c r="G46" s="46">
        <v>1</v>
      </c>
      <c r="H46" s="43" t="s">
        <v>375</v>
      </c>
      <c r="I46" s="46">
        <v>42495</v>
      </c>
      <c r="J46" s="46">
        <f t="shared" si="0"/>
        <v>42495</v>
      </c>
    </row>
    <row r="47" spans="1:10">
      <c r="A47" s="43">
        <v>46</v>
      </c>
      <c r="B47" s="44">
        <v>311202004696</v>
      </c>
      <c r="C47" s="45" t="s">
        <v>396</v>
      </c>
      <c r="D47" s="44">
        <v>4600071418</v>
      </c>
      <c r="E47" s="44">
        <v>3003598</v>
      </c>
      <c r="F47" s="45" t="s">
        <v>381</v>
      </c>
      <c r="G47" s="46">
        <v>9</v>
      </c>
      <c r="H47" s="43" t="s">
        <v>379</v>
      </c>
      <c r="I47" s="46">
        <v>104353</v>
      </c>
      <c r="J47" s="46">
        <f t="shared" si="0"/>
        <v>939177</v>
      </c>
    </row>
    <row r="48" spans="1:10">
      <c r="A48" s="43">
        <v>47</v>
      </c>
      <c r="B48" s="44">
        <v>311202004696</v>
      </c>
      <c r="C48" s="45" t="s">
        <v>396</v>
      </c>
      <c r="D48" s="44">
        <v>4600071418</v>
      </c>
      <c r="E48" s="44">
        <v>3003599</v>
      </c>
      <c r="F48" s="45" t="s">
        <v>382</v>
      </c>
      <c r="G48" s="46">
        <v>21</v>
      </c>
      <c r="H48" s="43" t="s">
        <v>379</v>
      </c>
      <c r="I48" s="46">
        <v>72382</v>
      </c>
      <c r="J48" s="46">
        <f t="shared" si="0"/>
        <v>1520022</v>
      </c>
    </row>
    <row r="49" spans="1:10">
      <c r="A49" s="43">
        <v>48</v>
      </c>
      <c r="B49" s="44">
        <v>311202004696</v>
      </c>
      <c r="C49" s="45" t="s">
        <v>396</v>
      </c>
      <c r="D49" s="44">
        <v>4600071418</v>
      </c>
      <c r="E49" s="44">
        <v>3003607</v>
      </c>
      <c r="F49" s="45" t="s">
        <v>383</v>
      </c>
      <c r="G49" s="46">
        <v>1</v>
      </c>
      <c r="H49" s="43" t="s">
        <v>379</v>
      </c>
      <c r="I49" s="46">
        <v>149131</v>
      </c>
      <c r="J49" s="46">
        <f t="shared" si="0"/>
        <v>149131</v>
      </c>
    </row>
    <row r="50" spans="1:10">
      <c r="A50" s="43">
        <v>49</v>
      </c>
      <c r="B50" s="44">
        <v>311202004696</v>
      </c>
      <c r="C50" s="45" t="s">
        <v>396</v>
      </c>
      <c r="D50" s="44">
        <v>4600071418</v>
      </c>
      <c r="E50" s="44">
        <v>3003619</v>
      </c>
      <c r="F50" s="45" t="s">
        <v>397</v>
      </c>
      <c r="G50" s="46">
        <v>1</v>
      </c>
      <c r="H50" s="43" t="s">
        <v>379</v>
      </c>
      <c r="I50" s="46">
        <v>1294780</v>
      </c>
      <c r="J50" s="46">
        <f t="shared" si="0"/>
        <v>1294780</v>
      </c>
    </row>
    <row r="51" spans="1:10">
      <c r="A51" s="43">
        <v>50</v>
      </c>
      <c r="B51" s="44">
        <v>311202004696</v>
      </c>
      <c r="C51" s="45" t="s">
        <v>396</v>
      </c>
      <c r="D51" s="44">
        <v>4600071418</v>
      </c>
      <c r="E51" s="44">
        <v>3003622</v>
      </c>
      <c r="F51" s="45" t="s">
        <v>389</v>
      </c>
      <c r="G51" s="46">
        <v>1</v>
      </c>
      <c r="H51" s="43" t="s">
        <v>379</v>
      </c>
      <c r="I51" s="46">
        <v>988293</v>
      </c>
      <c r="J51" s="46">
        <f t="shared" si="0"/>
        <v>988293</v>
      </c>
    </row>
    <row r="52" spans="1:10">
      <c r="A52" s="43">
        <v>51</v>
      </c>
      <c r="B52" s="44">
        <v>311202004696</v>
      </c>
      <c r="C52" s="45" t="s">
        <v>396</v>
      </c>
      <c r="D52" s="44">
        <v>4600071418</v>
      </c>
      <c r="E52" s="44">
        <v>3003660</v>
      </c>
      <c r="F52" s="45" t="s">
        <v>393</v>
      </c>
      <c r="G52" s="46">
        <v>1</v>
      </c>
      <c r="H52" s="43" t="s">
        <v>371</v>
      </c>
      <c r="I52" s="46">
        <v>717970</v>
      </c>
      <c r="J52" s="46">
        <f t="shared" si="0"/>
        <v>717970</v>
      </c>
    </row>
    <row r="53" spans="1:10">
      <c r="A53" s="43">
        <v>52</v>
      </c>
      <c r="B53" s="44">
        <v>311202004672</v>
      </c>
      <c r="C53" s="45" t="s">
        <v>398</v>
      </c>
      <c r="D53" s="44">
        <v>4600069008</v>
      </c>
      <c r="E53" s="44">
        <v>3003571</v>
      </c>
      <c r="F53" s="45" t="s">
        <v>370</v>
      </c>
      <c r="G53" s="46">
        <v>1</v>
      </c>
      <c r="H53" s="43" t="s">
        <v>371</v>
      </c>
      <c r="I53" s="46">
        <v>821630</v>
      </c>
      <c r="J53" s="46">
        <f t="shared" si="0"/>
        <v>821630</v>
      </c>
    </row>
    <row r="54" spans="1:10">
      <c r="A54" s="43">
        <v>53</v>
      </c>
      <c r="B54" s="44">
        <v>311202004672</v>
      </c>
      <c r="C54" s="45" t="s">
        <v>398</v>
      </c>
      <c r="D54" s="44">
        <v>4600069008</v>
      </c>
      <c r="E54" s="44">
        <v>3003572</v>
      </c>
      <c r="F54" s="45" t="s">
        <v>372</v>
      </c>
      <c r="G54" s="46">
        <v>2000</v>
      </c>
      <c r="H54" s="43" t="s">
        <v>373</v>
      </c>
      <c r="I54" s="46">
        <v>4094</v>
      </c>
      <c r="J54" s="46">
        <f t="shared" si="0"/>
        <v>8188000</v>
      </c>
    </row>
    <row r="55" spans="1:10">
      <c r="A55" s="43">
        <v>54</v>
      </c>
      <c r="B55" s="44">
        <v>311202004672</v>
      </c>
      <c r="C55" s="45" t="s">
        <v>398</v>
      </c>
      <c r="D55" s="44">
        <v>4600069008</v>
      </c>
      <c r="E55" s="44">
        <v>3003577</v>
      </c>
      <c r="F55" s="45" t="s">
        <v>374</v>
      </c>
      <c r="G55" s="46">
        <v>8</v>
      </c>
      <c r="H55" s="43" t="s">
        <v>375</v>
      </c>
      <c r="I55" s="46">
        <v>47159</v>
      </c>
      <c r="J55" s="46">
        <f t="shared" si="0"/>
        <v>377272</v>
      </c>
    </row>
    <row r="56" spans="1:10">
      <c r="A56" s="43">
        <v>55</v>
      </c>
      <c r="B56" s="44">
        <v>311202004672</v>
      </c>
      <c r="C56" s="45" t="s">
        <v>398</v>
      </c>
      <c r="D56" s="44">
        <v>4600069008</v>
      </c>
      <c r="E56" s="44">
        <v>3003578</v>
      </c>
      <c r="F56" s="45" t="s">
        <v>376</v>
      </c>
      <c r="G56" s="46">
        <v>9</v>
      </c>
      <c r="H56" s="43" t="s">
        <v>375</v>
      </c>
      <c r="I56" s="46">
        <v>167349</v>
      </c>
      <c r="J56" s="46">
        <f t="shared" si="0"/>
        <v>1506141</v>
      </c>
    </row>
    <row r="57" spans="1:10">
      <c r="A57" s="43">
        <v>56</v>
      </c>
      <c r="B57" s="44">
        <v>311202004672</v>
      </c>
      <c r="C57" s="45" t="s">
        <v>398</v>
      </c>
      <c r="D57" s="44">
        <v>4600069008</v>
      </c>
      <c r="E57" s="44">
        <v>3003581</v>
      </c>
      <c r="F57" s="45" t="s">
        <v>378</v>
      </c>
      <c r="G57" s="46">
        <v>37</v>
      </c>
      <c r="H57" s="43" t="s">
        <v>379</v>
      </c>
      <c r="I57" s="46">
        <v>11384</v>
      </c>
      <c r="J57" s="46">
        <f t="shared" si="0"/>
        <v>421208</v>
      </c>
    </row>
    <row r="58" spans="1:10">
      <c r="A58" s="43">
        <v>57</v>
      </c>
      <c r="B58" s="44">
        <v>311202004672</v>
      </c>
      <c r="C58" s="45" t="s">
        <v>398</v>
      </c>
      <c r="D58" s="44">
        <v>4600069008</v>
      </c>
      <c r="E58" s="44">
        <v>3003582</v>
      </c>
      <c r="F58" s="45" t="s">
        <v>391</v>
      </c>
      <c r="G58" s="46">
        <v>2</v>
      </c>
      <c r="H58" s="43" t="s">
        <v>371</v>
      </c>
      <c r="I58" s="46">
        <v>11384</v>
      </c>
      <c r="J58" s="46">
        <f t="shared" si="0"/>
        <v>22768</v>
      </c>
    </row>
    <row r="59" spans="1:10">
      <c r="A59" s="43">
        <v>58</v>
      </c>
      <c r="B59" s="44">
        <v>311202004672</v>
      </c>
      <c r="C59" s="45" t="s">
        <v>398</v>
      </c>
      <c r="D59" s="44">
        <v>4600069008</v>
      </c>
      <c r="E59" s="44">
        <v>3003594</v>
      </c>
      <c r="F59" s="45" t="s">
        <v>380</v>
      </c>
      <c r="G59" s="46">
        <v>1</v>
      </c>
      <c r="H59" s="43" t="s">
        <v>375</v>
      </c>
      <c r="I59" s="46">
        <v>566072</v>
      </c>
      <c r="J59" s="46">
        <f t="shared" si="0"/>
        <v>566072</v>
      </c>
    </row>
    <row r="60" spans="1:10">
      <c r="A60" s="43">
        <v>59</v>
      </c>
      <c r="B60" s="44">
        <v>311202004672</v>
      </c>
      <c r="C60" s="45" t="s">
        <v>398</v>
      </c>
      <c r="D60" s="44">
        <v>4600069008</v>
      </c>
      <c r="E60" s="44">
        <v>3003598</v>
      </c>
      <c r="F60" s="45" t="s">
        <v>381</v>
      </c>
      <c r="G60" s="46">
        <v>10</v>
      </c>
      <c r="H60" s="43" t="s">
        <v>379</v>
      </c>
      <c r="I60" s="46">
        <v>104353</v>
      </c>
      <c r="J60" s="46">
        <f t="shared" si="0"/>
        <v>1043530</v>
      </c>
    </row>
    <row r="61" spans="1:10">
      <c r="A61" s="43">
        <v>60</v>
      </c>
      <c r="B61" s="44">
        <v>311202004672</v>
      </c>
      <c r="C61" s="45" t="s">
        <v>398</v>
      </c>
      <c r="D61" s="44">
        <v>4600069008</v>
      </c>
      <c r="E61" s="44">
        <v>3003599</v>
      </c>
      <c r="F61" s="45" t="s">
        <v>382</v>
      </c>
      <c r="G61" s="46">
        <v>27</v>
      </c>
      <c r="H61" s="43" t="s">
        <v>379</v>
      </c>
      <c r="I61" s="46">
        <v>72382</v>
      </c>
      <c r="J61" s="46">
        <f t="shared" si="0"/>
        <v>1954314</v>
      </c>
    </row>
    <row r="62" spans="1:10">
      <c r="A62" s="43">
        <v>61</v>
      </c>
      <c r="B62" s="44">
        <v>311202004672</v>
      </c>
      <c r="C62" s="45" t="s">
        <v>398</v>
      </c>
      <c r="D62" s="44">
        <v>4600069008</v>
      </c>
      <c r="E62" s="44">
        <v>3003608</v>
      </c>
      <c r="F62" s="45" t="s">
        <v>392</v>
      </c>
      <c r="G62" s="46">
        <v>2</v>
      </c>
      <c r="H62" s="43" t="s">
        <v>379</v>
      </c>
      <c r="I62" s="46">
        <v>172562</v>
      </c>
      <c r="J62" s="46">
        <f t="shared" si="0"/>
        <v>345124</v>
      </c>
    </row>
    <row r="63" spans="1:10">
      <c r="A63" s="43">
        <v>62</v>
      </c>
      <c r="B63" s="44">
        <v>311202004672</v>
      </c>
      <c r="C63" s="45" t="s">
        <v>398</v>
      </c>
      <c r="D63" s="44">
        <v>4600069008</v>
      </c>
      <c r="E63" s="44">
        <v>3003618</v>
      </c>
      <c r="F63" s="45" t="s">
        <v>384</v>
      </c>
      <c r="G63" s="46">
        <v>1</v>
      </c>
      <c r="H63" s="43" t="s">
        <v>379</v>
      </c>
      <c r="I63" s="46">
        <v>1089630</v>
      </c>
      <c r="J63" s="46">
        <f t="shared" si="0"/>
        <v>1089630</v>
      </c>
    </row>
    <row r="64" spans="1:10">
      <c r="A64" s="43">
        <v>63</v>
      </c>
      <c r="B64" s="44">
        <v>311202004672</v>
      </c>
      <c r="C64" s="45" t="s">
        <v>398</v>
      </c>
      <c r="D64" s="44">
        <v>4600069008</v>
      </c>
      <c r="E64" s="44">
        <v>3003622</v>
      </c>
      <c r="F64" s="45" t="s">
        <v>389</v>
      </c>
      <c r="G64" s="46">
        <v>1</v>
      </c>
      <c r="H64" s="43" t="s">
        <v>379</v>
      </c>
      <c r="I64" s="46">
        <v>988293</v>
      </c>
      <c r="J64" s="46">
        <f t="shared" si="0"/>
        <v>988293</v>
      </c>
    </row>
    <row r="65" spans="1:10">
      <c r="A65" s="43">
        <v>64</v>
      </c>
      <c r="B65" s="44">
        <v>311202004672</v>
      </c>
      <c r="C65" s="45" t="s">
        <v>398</v>
      </c>
      <c r="D65" s="44">
        <v>4600069008</v>
      </c>
      <c r="E65" s="44">
        <v>3003660</v>
      </c>
      <c r="F65" s="45" t="s">
        <v>393</v>
      </c>
      <c r="G65" s="46">
        <v>1</v>
      </c>
      <c r="H65" s="43" t="s">
        <v>371</v>
      </c>
      <c r="I65" s="46">
        <v>717970</v>
      </c>
      <c r="J65" s="46">
        <f t="shared" si="0"/>
        <v>717970</v>
      </c>
    </row>
    <row r="66" spans="1:10">
      <c r="A66" s="43">
        <v>65</v>
      </c>
      <c r="B66" s="44">
        <v>311202004672</v>
      </c>
      <c r="C66" s="45" t="s">
        <v>398</v>
      </c>
      <c r="D66" s="44">
        <v>4600071153</v>
      </c>
      <c r="E66" s="44">
        <v>3003571</v>
      </c>
      <c r="F66" s="45" t="s">
        <v>370</v>
      </c>
      <c r="G66" s="46">
        <v>1</v>
      </c>
      <c r="H66" s="43" t="s">
        <v>371</v>
      </c>
      <c r="I66" s="46">
        <v>821630</v>
      </c>
      <c r="J66" s="46">
        <f t="shared" ref="J66:J129" si="1">G66*I66</f>
        <v>821630</v>
      </c>
    </row>
    <row r="67" spans="1:10">
      <c r="A67" s="43">
        <v>66</v>
      </c>
      <c r="B67" s="44">
        <v>311202004672</v>
      </c>
      <c r="C67" s="45" t="s">
        <v>398</v>
      </c>
      <c r="D67" s="44">
        <v>4600071153</v>
      </c>
      <c r="E67" s="44">
        <v>3003578</v>
      </c>
      <c r="F67" s="45" t="s">
        <v>376</v>
      </c>
      <c r="G67" s="46">
        <v>1</v>
      </c>
      <c r="H67" s="43" t="s">
        <v>375</v>
      </c>
      <c r="I67" s="46">
        <v>167349</v>
      </c>
      <c r="J67" s="46">
        <f t="shared" si="1"/>
        <v>167349</v>
      </c>
    </row>
    <row r="68" spans="1:10">
      <c r="A68" s="43">
        <v>67</v>
      </c>
      <c r="B68" s="44">
        <v>311202004672</v>
      </c>
      <c r="C68" s="45" t="s">
        <v>398</v>
      </c>
      <c r="D68" s="44">
        <v>4600071153</v>
      </c>
      <c r="E68" s="44">
        <v>3003586</v>
      </c>
      <c r="F68" s="45" t="s">
        <v>387</v>
      </c>
      <c r="G68" s="46">
        <v>1</v>
      </c>
      <c r="H68" s="43" t="s">
        <v>371</v>
      </c>
      <c r="I68" s="46">
        <v>6390012</v>
      </c>
      <c r="J68" s="46">
        <f t="shared" si="1"/>
        <v>6390012</v>
      </c>
    </row>
    <row r="69" spans="1:10">
      <c r="A69" s="43">
        <v>68</v>
      </c>
      <c r="B69" s="44">
        <v>311202004672</v>
      </c>
      <c r="C69" s="45" t="s">
        <v>398</v>
      </c>
      <c r="D69" s="44">
        <v>4600071153</v>
      </c>
      <c r="E69" s="44">
        <v>3003607</v>
      </c>
      <c r="F69" s="45" t="s">
        <v>383</v>
      </c>
      <c r="G69" s="46">
        <v>1</v>
      </c>
      <c r="H69" s="43" t="s">
        <v>379</v>
      </c>
      <c r="I69" s="46">
        <v>149131</v>
      </c>
      <c r="J69" s="46">
        <f t="shared" si="1"/>
        <v>149131</v>
      </c>
    </row>
    <row r="70" spans="1:10">
      <c r="A70" s="43">
        <v>69</v>
      </c>
      <c r="B70" s="44">
        <v>311202004672</v>
      </c>
      <c r="C70" s="45" t="s">
        <v>398</v>
      </c>
      <c r="D70" s="44">
        <v>4600071153</v>
      </c>
      <c r="E70" s="44">
        <v>3003619</v>
      </c>
      <c r="F70" s="45" t="s">
        <v>397</v>
      </c>
      <c r="G70" s="46">
        <v>1</v>
      </c>
      <c r="H70" s="43" t="s">
        <v>379</v>
      </c>
      <c r="I70" s="46">
        <v>1294780</v>
      </c>
      <c r="J70" s="46">
        <f t="shared" si="1"/>
        <v>1294780</v>
      </c>
    </row>
    <row r="71" spans="1:10">
      <c r="A71" s="43">
        <v>70</v>
      </c>
      <c r="B71" s="44">
        <v>311202004672</v>
      </c>
      <c r="C71" s="45" t="s">
        <v>398</v>
      </c>
      <c r="D71" s="44">
        <v>4600071153</v>
      </c>
      <c r="E71" s="44">
        <v>3003622</v>
      </c>
      <c r="F71" s="45" t="s">
        <v>389</v>
      </c>
      <c r="G71" s="46">
        <v>1</v>
      </c>
      <c r="H71" s="43" t="s">
        <v>379</v>
      </c>
      <c r="I71" s="46">
        <v>988293</v>
      </c>
      <c r="J71" s="46">
        <f t="shared" si="1"/>
        <v>988293</v>
      </c>
    </row>
    <row r="72" spans="1:10">
      <c r="A72" s="43">
        <v>71</v>
      </c>
      <c r="B72" s="44">
        <v>311202004672</v>
      </c>
      <c r="C72" s="45" t="s">
        <v>398</v>
      </c>
      <c r="D72" s="44">
        <v>4600071153</v>
      </c>
      <c r="E72" s="44">
        <v>3003660</v>
      </c>
      <c r="F72" s="45" t="s">
        <v>393</v>
      </c>
      <c r="G72" s="46">
        <v>1</v>
      </c>
      <c r="H72" s="43" t="s">
        <v>371</v>
      </c>
      <c r="I72" s="46">
        <v>717970</v>
      </c>
      <c r="J72" s="46">
        <f t="shared" si="1"/>
        <v>717970</v>
      </c>
    </row>
    <row r="73" spans="1:10">
      <c r="A73" s="43">
        <v>72</v>
      </c>
      <c r="B73" s="44">
        <v>311202004673</v>
      </c>
      <c r="C73" s="45" t="s">
        <v>399</v>
      </c>
      <c r="D73" s="44">
        <v>4600115590</v>
      </c>
      <c r="E73" s="44">
        <v>3003571</v>
      </c>
      <c r="F73" s="45" t="s">
        <v>370</v>
      </c>
      <c r="G73" s="46">
        <v>1</v>
      </c>
      <c r="H73" s="43" t="s">
        <v>371</v>
      </c>
      <c r="I73" s="46">
        <v>821630</v>
      </c>
      <c r="J73" s="46">
        <f t="shared" si="1"/>
        <v>821630</v>
      </c>
    </row>
    <row r="74" spans="1:10">
      <c r="A74" s="43">
        <v>73</v>
      </c>
      <c r="B74" s="44">
        <v>311202004673</v>
      </c>
      <c r="C74" s="45" t="s">
        <v>399</v>
      </c>
      <c r="D74" s="44">
        <v>4600115590</v>
      </c>
      <c r="E74" s="44">
        <v>3003572</v>
      </c>
      <c r="F74" s="45" t="s">
        <v>372</v>
      </c>
      <c r="G74" s="46">
        <v>1050</v>
      </c>
      <c r="H74" s="43" t="s">
        <v>373</v>
      </c>
      <c r="I74" s="46">
        <v>4094</v>
      </c>
      <c r="J74" s="46">
        <f t="shared" si="1"/>
        <v>4298700</v>
      </c>
    </row>
    <row r="75" spans="1:10">
      <c r="A75" s="43">
        <v>74</v>
      </c>
      <c r="B75" s="44">
        <v>311202004673</v>
      </c>
      <c r="C75" s="45" t="s">
        <v>399</v>
      </c>
      <c r="D75" s="44">
        <v>4600115590</v>
      </c>
      <c r="E75" s="44">
        <v>3003577</v>
      </c>
      <c r="F75" s="45" t="s">
        <v>374</v>
      </c>
      <c r="G75" s="46">
        <v>4</v>
      </c>
      <c r="H75" s="43" t="s">
        <v>375</v>
      </c>
      <c r="I75" s="46">
        <v>47159</v>
      </c>
      <c r="J75" s="46">
        <f t="shared" si="1"/>
        <v>188636</v>
      </c>
    </row>
    <row r="76" spans="1:10">
      <c r="A76" s="43">
        <v>75</v>
      </c>
      <c r="B76" s="44">
        <v>311202004673</v>
      </c>
      <c r="C76" s="45" t="s">
        <v>399</v>
      </c>
      <c r="D76" s="44">
        <v>4600115590</v>
      </c>
      <c r="E76" s="44">
        <v>3003578</v>
      </c>
      <c r="F76" s="45" t="s">
        <v>376</v>
      </c>
      <c r="G76" s="46">
        <v>7</v>
      </c>
      <c r="H76" s="43" t="s">
        <v>375</v>
      </c>
      <c r="I76" s="46">
        <v>167349</v>
      </c>
      <c r="J76" s="46">
        <f t="shared" si="1"/>
        <v>1171443</v>
      </c>
    </row>
    <row r="77" spans="1:10">
      <c r="A77" s="43">
        <v>76</v>
      </c>
      <c r="B77" s="44">
        <v>311202004673</v>
      </c>
      <c r="C77" s="45" t="s">
        <v>399</v>
      </c>
      <c r="D77" s="44">
        <v>4600115590</v>
      </c>
      <c r="E77" s="44">
        <v>3003579</v>
      </c>
      <c r="F77" s="45" t="s">
        <v>377</v>
      </c>
      <c r="G77" s="46">
        <v>4</v>
      </c>
      <c r="H77" s="43" t="s">
        <v>375</v>
      </c>
      <c r="I77" s="46">
        <v>42495</v>
      </c>
      <c r="J77" s="46">
        <f t="shared" si="1"/>
        <v>169980</v>
      </c>
    </row>
    <row r="78" spans="1:10">
      <c r="A78" s="43">
        <v>77</v>
      </c>
      <c r="B78" s="44">
        <v>311202004673</v>
      </c>
      <c r="C78" s="45" t="s">
        <v>399</v>
      </c>
      <c r="D78" s="44">
        <v>4600115590</v>
      </c>
      <c r="E78" s="44">
        <v>3003581</v>
      </c>
      <c r="F78" s="45" t="s">
        <v>378</v>
      </c>
      <c r="G78" s="46">
        <v>16</v>
      </c>
      <c r="H78" s="43" t="s">
        <v>379</v>
      </c>
      <c r="I78" s="46">
        <v>11384</v>
      </c>
      <c r="J78" s="46">
        <f t="shared" si="1"/>
        <v>182144</v>
      </c>
    </row>
    <row r="79" spans="1:10">
      <c r="A79" s="43">
        <v>78</v>
      </c>
      <c r="B79" s="44">
        <v>311202004673</v>
      </c>
      <c r="C79" s="45" t="s">
        <v>399</v>
      </c>
      <c r="D79" s="44">
        <v>4600115590</v>
      </c>
      <c r="E79" s="44">
        <v>3003594</v>
      </c>
      <c r="F79" s="45" t="s">
        <v>380</v>
      </c>
      <c r="G79" s="46">
        <v>2</v>
      </c>
      <c r="H79" s="43" t="s">
        <v>375</v>
      </c>
      <c r="I79" s="46">
        <v>566072</v>
      </c>
      <c r="J79" s="46">
        <f t="shared" si="1"/>
        <v>1132144</v>
      </c>
    </row>
    <row r="80" spans="1:10">
      <c r="A80" s="43">
        <v>79</v>
      </c>
      <c r="B80" s="44">
        <v>311202004673</v>
      </c>
      <c r="C80" s="45" t="s">
        <v>399</v>
      </c>
      <c r="D80" s="44">
        <v>4600115590</v>
      </c>
      <c r="E80" s="44">
        <v>3003598</v>
      </c>
      <c r="F80" s="45" t="s">
        <v>381</v>
      </c>
      <c r="G80" s="46">
        <v>7</v>
      </c>
      <c r="H80" s="43" t="s">
        <v>379</v>
      </c>
      <c r="I80" s="46">
        <v>104353</v>
      </c>
      <c r="J80" s="46">
        <f t="shared" si="1"/>
        <v>730471</v>
      </c>
    </row>
    <row r="81" spans="1:10">
      <c r="A81" s="43">
        <v>80</v>
      </c>
      <c r="B81" s="44">
        <v>311202004673</v>
      </c>
      <c r="C81" s="45" t="s">
        <v>399</v>
      </c>
      <c r="D81" s="44">
        <v>4600115590</v>
      </c>
      <c r="E81" s="44">
        <v>3003599</v>
      </c>
      <c r="F81" s="45" t="s">
        <v>382</v>
      </c>
      <c r="G81" s="46">
        <v>9</v>
      </c>
      <c r="H81" s="43" t="s">
        <v>379</v>
      </c>
      <c r="I81" s="46">
        <v>72382</v>
      </c>
      <c r="J81" s="46">
        <f t="shared" si="1"/>
        <v>651438</v>
      </c>
    </row>
    <row r="82" spans="1:10">
      <c r="A82" s="43">
        <v>81</v>
      </c>
      <c r="B82" s="44">
        <v>311202004673</v>
      </c>
      <c r="C82" s="45" t="s">
        <v>399</v>
      </c>
      <c r="D82" s="44">
        <v>4600115590</v>
      </c>
      <c r="E82" s="44">
        <v>3003618</v>
      </c>
      <c r="F82" s="45" t="s">
        <v>384</v>
      </c>
      <c r="G82" s="46">
        <v>1</v>
      </c>
      <c r="H82" s="43" t="s">
        <v>379</v>
      </c>
      <c r="I82" s="46">
        <v>1089630</v>
      </c>
      <c r="J82" s="46">
        <f t="shared" si="1"/>
        <v>1089630</v>
      </c>
    </row>
    <row r="83" spans="1:10">
      <c r="A83" s="43">
        <v>82</v>
      </c>
      <c r="B83" s="44">
        <v>311202004673</v>
      </c>
      <c r="C83" s="45" t="s">
        <v>399</v>
      </c>
      <c r="D83" s="44">
        <v>4600115590</v>
      </c>
      <c r="E83" s="44">
        <v>3003623</v>
      </c>
      <c r="F83" s="45" t="s">
        <v>385</v>
      </c>
      <c r="G83" s="46">
        <v>2</v>
      </c>
      <c r="H83" s="43" t="s">
        <v>379</v>
      </c>
      <c r="I83" s="46">
        <v>987673</v>
      </c>
      <c r="J83" s="46">
        <f t="shared" si="1"/>
        <v>1975346</v>
      </c>
    </row>
    <row r="84" spans="1:10">
      <c r="A84" s="43">
        <v>83</v>
      </c>
      <c r="B84" s="44">
        <v>311202004673</v>
      </c>
      <c r="C84" s="45" t="s">
        <v>399</v>
      </c>
      <c r="D84" s="44">
        <v>4600267902</v>
      </c>
      <c r="E84" s="44">
        <v>3003571</v>
      </c>
      <c r="F84" s="45" t="s">
        <v>370</v>
      </c>
      <c r="G84" s="46">
        <v>1</v>
      </c>
      <c r="H84" s="43" t="s">
        <v>371</v>
      </c>
      <c r="I84" s="46">
        <v>821630</v>
      </c>
      <c r="J84" s="46">
        <f t="shared" si="1"/>
        <v>821630</v>
      </c>
    </row>
    <row r="85" spans="1:10">
      <c r="A85" s="43">
        <v>84</v>
      </c>
      <c r="B85" s="44">
        <v>311202004673</v>
      </c>
      <c r="C85" s="45" t="s">
        <v>399</v>
      </c>
      <c r="D85" s="44">
        <v>4600267902</v>
      </c>
      <c r="E85" s="44">
        <v>3003586</v>
      </c>
      <c r="F85" s="45" t="s">
        <v>387</v>
      </c>
      <c r="G85" s="46">
        <v>1</v>
      </c>
      <c r="H85" s="43" t="s">
        <v>371</v>
      </c>
      <c r="I85" s="46">
        <v>6390012</v>
      </c>
      <c r="J85" s="46">
        <f t="shared" si="1"/>
        <v>6390012</v>
      </c>
    </row>
    <row r="86" spans="1:10">
      <c r="A86" s="43">
        <v>85</v>
      </c>
      <c r="B86" s="44">
        <v>311202004674</v>
      </c>
      <c r="C86" s="45" t="s">
        <v>400</v>
      </c>
      <c r="D86" s="44">
        <v>4600113286</v>
      </c>
      <c r="E86" s="44">
        <v>3003571</v>
      </c>
      <c r="F86" s="45" t="s">
        <v>370</v>
      </c>
      <c r="G86" s="46">
        <v>1</v>
      </c>
      <c r="H86" s="43" t="s">
        <v>371</v>
      </c>
      <c r="I86" s="46">
        <v>821630</v>
      </c>
      <c r="J86" s="46">
        <f t="shared" si="1"/>
        <v>821630</v>
      </c>
    </row>
    <row r="87" spans="1:10">
      <c r="A87" s="43">
        <v>86</v>
      </c>
      <c r="B87" s="44">
        <v>311202004674</v>
      </c>
      <c r="C87" s="45" t="s">
        <v>400</v>
      </c>
      <c r="D87" s="44">
        <v>4600113286</v>
      </c>
      <c r="E87" s="44">
        <v>3003572</v>
      </c>
      <c r="F87" s="45" t="s">
        <v>372</v>
      </c>
      <c r="G87" s="46">
        <v>6300</v>
      </c>
      <c r="H87" s="43" t="s">
        <v>373</v>
      </c>
      <c r="I87" s="46">
        <v>4094</v>
      </c>
      <c r="J87" s="46">
        <f t="shared" si="1"/>
        <v>25792200</v>
      </c>
    </row>
    <row r="88" spans="1:10">
      <c r="A88" s="43">
        <v>87</v>
      </c>
      <c r="B88" s="44">
        <v>311202004674</v>
      </c>
      <c r="C88" s="45" t="s">
        <v>400</v>
      </c>
      <c r="D88" s="44">
        <v>4600113286</v>
      </c>
      <c r="E88" s="44">
        <v>3003577</v>
      </c>
      <c r="F88" s="45" t="s">
        <v>374</v>
      </c>
      <c r="G88" s="46">
        <v>52</v>
      </c>
      <c r="H88" s="43" t="s">
        <v>375</v>
      </c>
      <c r="I88" s="46">
        <v>47159</v>
      </c>
      <c r="J88" s="46">
        <f t="shared" si="1"/>
        <v>2452268</v>
      </c>
    </row>
    <row r="89" spans="1:10">
      <c r="A89" s="43">
        <v>88</v>
      </c>
      <c r="B89" s="44">
        <v>311202004674</v>
      </c>
      <c r="C89" s="45" t="s">
        <v>400</v>
      </c>
      <c r="D89" s="44">
        <v>4600113286</v>
      </c>
      <c r="E89" s="44">
        <v>3003578</v>
      </c>
      <c r="F89" s="45" t="s">
        <v>376</v>
      </c>
      <c r="G89" s="46">
        <v>3</v>
      </c>
      <c r="H89" s="43" t="s">
        <v>375</v>
      </c>
      <c r="I89" s="46">
        <v>167349</v>
      </c>
      <c r="J89" s="46">
        <f t="shared" si="1"/>
        <v>502047</v>
      </c>
    </row>
    <row r="90" spans="1:10">
      <c r="A90" s="43">
        <v>89</v>
      </c>
      <c r="B90" s="44">
        <v>311202004674</v>
      </c>
      <c r="C90" s="45" t="s">
        <v>400</v>
      </c>
      <c r="D90" s="44">
        <v>4600113286</v>
      </c>
      <c r="E90" s="44">
        <v>3003579</v>
      </c>
      <c r="F90" s="45" t="s">
        <v>377</v>
      </c>
      <c r="G90" s="46">
        <v>6</v>
      </c>
      <c r="H90" s="43" t="s">
        <v>375</v>
      </c>
      <c r="I90" s="46">
        <v>42495</v>
      </c>
      <c r="J90" s="46">
        <f t="shared" si="1"/>
        <v>254970</v>
      </c>
    </row>
    <row r="91" spans="1:10">
      <c r="A91" s="43">
        <v>90</v>
      </c>
      <c r="B91" s="44">
        <v>311202004674</v>
      </c>
      <c r="C91" s="45" t="s">
        <v>400</v>
      </c>
      <c r="D91" s="44">
        <v>4600113286</v>
      </c>
      <c r="E91" s="44">
        <v>3003581</v>
      </c>
      <c r="F91" s="45" t="s">
        <v>378</v>
      </c>
      <c r="G91" s="46">
        <v>128</v>
      </c>
      <c r="H91" s="43" t="s">
        <v>379</v>
      </c>
      <c r="I91" s="46">
        <v>11384</v>
      </c>
      <c r="J91" s="46">
        <f t="shared" si="1"/>
        <v>1457152</v>
      </c>
    </row>
    <row r="92" spans="1:10">
      <c r="A92" s="43">
        <v>91</v>
      </c>
      <c r="B92" s="44">
        <v>311202004674</v>
      </c>
      <c r="C92" s="45" t="s">
        <v>400</v>
      </c>
      <c r="D92" s="44">
        <v>4600113286</v>
      </c>
      <c r="E92" s="44">
        <v>3003594</v>
      </c>
      <c r="F92" s="45" t="s">
        <v>380</v>
      </c>
      <c r="G92" s="46">
        <v>2</v>
      </c>
      <c r="H92" s="43" t="s">
        <v>375</v>
      </c>
      <c r="I92" s="46">
        <v>566072</v>
      </c>
      <c r="J92" s="46">
        <f t="shared" si="1"/>
        <v>1132144</v>
      </c>
    </row>
    <row r="93" spans="1:10">
      <c r="A93" s="43">
        <v>92</v>
      </c>
      <c r="B93" s="44">
        <v>311202004674</v>
      </c>
      <c r="C93" s="45" t="s">
        <v>400</v>
      </c>
      <c r="D93" s="44">
        <v>4600113286</v>
      </c>
      <c r="E93" s="44">
        <v>3003598</v>
      </c>
      <c r="F93" s="45" t="s">
        <v>381</v>
      </c>
      <c r="G93" s="46">
        <v>44</v>
      </c>
      <c r="H93" s="43" t="s">
        <v>379</v>
      </c>
      <c r="I93" s="46">
        <v>104353</v>
      </c>
      <c r="J93" s="46">
        <f t="shared" si="1"/>
        <v>4591532</v>
      </c>
    </row>
    <row r="94" spans="1:10">
      <c r="A94" s="43">
        <v>93</v>
      </c>
      <c r="B94" s="44">
        <v>311202004674</v>
      </c>
      <c r="C94" s="45" t="s">
        <v>400</v>
      </c>
      <c r="D94" s="44">
        <v>4600113286</v>
      </c>
      <c r="E94" s="44">
        <v>3003599</v>
      </c>
      <c r="F94" s="45" t="s">
        <v>382</v>
      </c>
      <c r="G94" s="46">
        <v>84</v>
      </c>
      <c r="H94" s="43" t="s">
        <v>379</v>
      </c>
      <c r="I94" s="46">
        <v>72382</v>
      </c>
      <c r="J94" s="46">
        <f t="shared" si="1"/>
        <v>6080088</v>
      </c>
    </row>
    <row r="95" spans="1:10">
      <c r="A95" s="43">
        <v>94</v>
      </c>
      <c r="B95" s="44">
        <v>311202004674</v>
      </c>
      <c r="C95" s="45" t="s">
        <v>400</v>
      </c>
      <c r="D95" s="44">
        <v>4600113286</v>
      </c>
      <c r="E95" s="44">
        <v>3003618</v>
      </c>
      <c r="F95" s="45" t="s">
        <v>384</v>
      </c>
      <c r="G95" s="46">
        <v>2</v>
      </c>
      <c r="H95" s="43" t="s">
        <v>379</v>
      </c>
      <c r="I95" s="46">
        <v>1089630</v>
      </c>
      <c r="J95" s="46">
        <f t="shared" si="1"/>
        <v>2179260</v>
      </c>
    </row>
    <row r="96" spans="1:10">
      <c r="A96" s="43">
        <v>95</v>
      </c>
      <c r="B96" s="44">
        <v>311202004674</v>
      </c>
      <c r="C96" s="45" t="s">
        <v>400</v>
      </c>
      <c r="D96" s="44">
        <v>4600113286</v>
      </c>
      <c r="E96" s="44">
        <v>3003623</v>
      </c>
      <c r="F96" s="45" t="s">
        <v>385</v>
      </c>
      <c r="G96" s="46">
        <v>2</v>
      </c>
      <c r="H96" s="43" t="s">
        <v>379</v>
      </c>
      <c r="I96" s="46">
        <v>987673</v>
      </c>
      <c r="J96" s="46">
        <f t="shared" si="1"/>
        <v>1975346</v>
      </c>
    </row>
    <row r="97" spans="1:10">
      <c r="A97" s="43">
        <v>96</v>
      </c>
      <c r="B97" s="44">
        <v>311202004674</v>
      </c>
      <c r="C97" s="45" t="s">
        <v>400</v>
      </c>
      <c r="D97" s="44">
        <v>4600113286</v>
      </c>
      <c r="E97" s="44"/>
      <c r="F97" s="45" t="s">
        <v>401</v>
      </c>
      <c r="G97" s="46">
        <v>1</v>
      </c>
      <c r="H97" s="43" t="s">
        <v>379</v>
      </c>
      <c r="I97" s="46">
        <v>4169830</v>
      </c>
      <c r="J97" s="46">
        <f t="shared" si="1"/>
        <v>4169830</v>
      </c>
    </row>
    <row r="98" spans="1:10">
      <c r="A98" s="43">
        <v>97</v>
      </c>
      <c r="B98" s="44">
        <v>311202004674</v>
      </c>
      <c r="C98" s="45" t="s">
        <v>400</v>
      </c>
      <c r="D98" s="44">
        <v>4600113286</v>
      </c>
      <c r="E98" s="44">
        <v>3003660</v>
      </c>
      <c r="F98" s="45" t="s">
        <v>393</v>
      </c>
      <c r="G98" s="46">
        <v>1</v>
      </c>
      <c r="H98" s="43" t="s">
        <v>371</v>
      </c>
      <c r="I98" s="46">
        <v>717970</v>
      </c>
      <c r="J98" s="46">
        <f t="shared" si="1"/>
        <v>717970</v>
      </c>
    </row>
    <row r="99" spans="1:10">
      <c r="A99" s="43">
        <v>98</v>
      </c>
      <c r="B99" s="44">
        <v>311202004676</v>
      </c>
      <c r="C99" s="45" t="s">
        <v>402</v>
      </c>
      <c r="D99" s="44">
        <v>4600109739</v>
      </c>
      <c r="E99" s="44">
        <v>3003571</v>
      </c>
      <c r="F99" s="45" t="s">
        <v>370</v>
      </c>
      <c r="G99" s="46">
        <v>1</v>
      </c>
      <c r="H99" s="43" t="s">
        <v>371</v>
      </c>
      <c r="I99" s="46">
        <v>821630</v>
      </c>
      <c r="J99" s="46">
        <f t="shared" si="1"/>
        <v>821630</v>
      </c>
    </row>
    <row r="100" spans="1:10">
      <c r="A100" s="43">
        <v>99</v>
      </c>
      <c r="B100" s="44">
        <v>311202004676</v>
      </c>
      <c r="C100" s="45" t="s">
        <v>402</v>
      </c>
      <c r="D100" s="44">
        <v>4600109739</v>
      </c>
      <c r="E100" s="44">
        <v>3003572</v>
      </c>
      <c r="F100" s="45" t="s">
        <v>372</v>
      </c>
      <c r="G100" s="46">
        <v>1600</v>
      </c>
      <c r="H100" s="43" t="s">
        <v>373</v>
      </c>
      <c r="I100" s="46">
        <v>4094</v>
      </c>
      <c r="J100" s="46">
        <f t="shared" si="1"/>
        <v>6550400</v>
      </c>
    </row>
    <row r="101" spans="1:10">
      <c r="A101" s="43">
        <v>100</v>
      </c>
      <c r="B101" s="44">
        <v>311202004676</v>
      </c>
      <c r="C101" s="45" t="s">
        <v>402</v>
      </c>
      <c r="D101" s="44">
        <v>4600109739</v>
      </c>
      <c r="E101" s="44">
        <v>3003577</v>
      </c>
      <c r="F101" s="45" t="s">
        <v>374</v>
      </c>
      <c r="G101" s="46">
        <v>6</v>
      </c>
      <c r="H101" s="43" t="s">
        <v>375</v>
      </c>
      <c r="I101" s="46">
        <v>47159</v>
      </c>
      <c r="J101" s="46">
        <f t="shared" si="1"/>
        <v>282954</v>
      </c>
    </row>
    <row r="102" spans="1:10">
      <c r="A102" s="43">
        <v>101</v>
      </c>
      <c r="B102" s="44">
        <v>311202004676</v>
      </c>
      <c r="C102" s="45" t="s">
        <v>402</v>
      </c>
      <c r="D102" s="44">
        <v>4600109739</v>
      </c>
      <c r="E102" s="44">
        <v>3003578</v>
      </c>
      <c r="F102" s="45" t="s">
        <v>376</v>
      </c>
      <c r="G102" s="46">
        <v>4</v>
      </c>
      <c r="H102" s="43" t="s">
        <v>375</v>
      </c>
      <c r="I102" s="46">
        <v>167349</v>
      </c>
      <c r="J102" s="46">
        <f t="shared" si="1"/>
        <v>669396</v>
      </c>
    </row>
    <row r="103" spans="1:10">
      <c r="A103" s="43">
        <v>102</v>
      </c>
      <c r="B103" s="44">
        <v>311202004676</v>
      </c>
      <c r="C103" s="45" t="s">
        <v>402</v>
      </c>
      <c r="D103" s="44">
        <v>4600109739</v>
      </c>
      <c r="E103" s="44">
        <v>3003579</v>
      </c>
      <c r="F103" s="45" t="s">
        <v>377</v>
      </c>
      <c r="G103" s="46">
        <v>4</v>
      </c>
      <c r="H103" s="43" t="s">
        <v>375</v>
      </c>
      <c r="I103" s="46">
        <v>42495</v>
      </c>
      <c r="J103" s="46">
        <f t="shared" si="1"/>
        <v>169980</v>
      </c>
    </row>
    <row r="104" spans="1:10">
      <c r="A104" s="43">
        <v>103</v>
      </c>
      <c r="B104" s="44">
        <v>311202004676</v>
      </c>
      <c r="C104" s="45" t="s">
        <v>402</v>
      </c>
      <c r="D104" s="44">
        <v>4600109739</v>
      </c>
      <c r="E104" s="44">
        <v>3003581</v>
      </c>
      <c r="F104" s="45" t="s">
        <v>378</v>
      </c>
      <c r="G104" s="46">
        <v>29</v>
      </c>
      <c r="H104" s="43" t="s">
        <v>379</v>
      </c>
      <c r="I104" s="46">
        <v>11384</v>
      </c>
      <c r="J104" s="46">
        <f t="shared" si="1"/>
        <v>330136</v>
      </c>
    </row>
    <row r="105" spans="1:10">
      <c r="A105" s="43">
        <v>104</v>
      </c>
      <c r="B105" s="44">
        <v>311202004676</v>
      </c>
      <c r="C105" s="45" t="s">
        <v>402</v>
      </c>
      <c r="D105" s="44">
        <v>4600109739</v>
      </c>
      <c r="E105" s="44">
        <v>3003594</v>
      </c>
      <c r="F105" s="45" t="s">
        <v>380</v>
      </c>
      <c r="G105" s="46">
        <v>2</v>
      </c>
      <c r="H105" s="43" t="s">
        <v>375</v>
      </c>
      <c r="I105" s="46">
        <v>566072</v>
      </c>
      <c r="J105" s="46">
        <f t="shared" si="1"/>
        <v>1132144</v>
      </c>
    </row>
    <row r="106" spans="1:10">
      <c r="A106" s="43">
        <v>105</v>
      </c>
      <c r="B106" s="44">
        <v>311202004676</v>
      </c>
      <c r="C106" s="45" t="s">
        <v>402</v>
      </c>
      <c r="D106" s="44">
        <v>4600109739</v>
      </c>
      <c r="E106" s="44">
        <v>3003598</v>
      </c>
      <c r="F106" s="45" t="s">
        <v>381</v>
      </c>
      <c r="G106" s="46">
        <v>14</v>
      </c>
      <c r="H106" s="43" t="s">
        <v>379</v>
      </c>
      <c r="I106" s="46">
        <v>104353</v>
      </c>
      <c r="J106" s="46">
        <f t="shared" si="1"/>
        <v>1460942</v>
      </c>
    </row>
    <row r="107" spans="1:10">
      <c r="A107" s="43">
        <v>106</v>
      </c>
      <c r="B107" s="44">
        <v>311202004676</v>
      </c>
      <c r="C107" s="45" t="s">
        <v>402</v>
      </c>
      <c r="D107" s="44">
        <v>4600109739</v>
      </c>
      <c r="E107" s="44">
        <v>3003599</v>
      </c>
      <c r="F107" s="45" t="s">
        <v>382</v>
      </c>
      <c r="G107" s="46">
        <v>15</v>
      </c>
      <c r="H107" s="43" t="s">
        <v>379</v>
      </c>
      <c r="I107" s="46">
        <v>72382</v>
      </c>
      <c r="J107" s="46">
        <f t="shared" si="1"/>
        <v>1085730</v>
      </c>
    </row>
    <row r="108" spans="1:10">
      <c r="A108" s="43">
        <v>107</v>
      </c>
      <c r="B108" s="44">
        <v>311202004676</v>
      </c>
      <c r="C108" s="45" t="s">
        <v>402</v>
      </c>
      <c r="D108" s="44">
        <v>4600109739</v>
      </c>
      <c r="E108" s="44">
        <v>3003618</v>
      </c>
      <c r="F108" s="45" t="s">
        <v>384</v>
      </c>
      <c r="G108" s="46">
        <v>1</v>
      </c>
      <c r="H108" s="43" t="s">
        <v>379</v>
      </c>
      <c r="I108" s="46">
        <v>1089630</v>
      </c>
      <c r="J108" s="46">
        <f t="shared" si="1"/>
        <v>1089630</v>
      </c>
    </row>
    <row r="109" spans="1:10">
      <c r="A109" s="43">
        <v>108</v>
      </c>
      <c r="B109" s="44">
        <v>311202004676</v>
      </c>
      <c r="C109" s="45" t="s">
        <v>402</v>
      </c>
      <c r="D109" s="44">
        <v>4600109739</v>
      </c>
      <c r="E109" s="44">
        <v>3003623</v>
      </c>
      <c r="F109" s="45" t="s">
        <v>385</v>
      </c>
      <c r="G109" s="46">
        <v>2</v>
      </c>
      <c r="H109" s="43" t="s">
        <v>379</v>
      </c>
      <c r="I109" s="46">
        <v>987673</v>
      </c>
      <c r="J109" s="46">
        <f t="shared" si="1"/>
        <v>1975346</v>
      </c>
    </row>
    <row r="110" spans="1:10">
      <c r="A110" s="43">
        <v>109</v>
      </c>
      <c r="B110" s="44">
        <v>311202004676</v>
      </c>
      <c r="C110" s="45" t="s">
        <v>402</v>
      </c>
      <c r="D110" s="44">
        <v>4600109739</v>
      </c>
      <c r="E110" s="44">
        <v>3003660</v>
      </c>
      <c r="F110" s="45" t="s">
        <v>393</v>
      </c>
      <c r="G110" s="46">
        <v>1</v>
      </c>
      <c r="H110" s="43" t="s">
        <v>371</v>
      </c>
      <c r="I110" s="46">
        <v>717970</v>
      </c>
      <c r="J110" s="46">
        <f t="shared" si="1"/>
        <v>717970</v>
      </c>
    </row>
    <row r="111" spans="1:10">
      <c r="A111" s="43">
        <v>110</v>
      </c>
      <c r="B111" s="44">
        <v>311202004677</v>
      </c>
      <c r="C111" s="45" t="s">
        <v>403</v>
      </c>
      <c r="D111" s="44">
        <v>4600253924</v>
      </c>
      <c r="E111" s="44">
        <v>3003571</v>
      </c>
      <c r="F111" s="45" t="s">
        <v>370</v>
      </c>
      <c r="G111" s="46">
        <v>1</v>
      </c>
      <c r="H111" s="43" t="s">
        <v>371</v>
      </c>
      <c r="I111" s="46">
        <v>821630</v>
      </c>
      <c r="J111" s="46">
        <f t="shared" si="1"/>
        <v>821630</v>
      </c>
    </row>
    <row r="112" spans="1:10">
      <c r="A112" s="43">
        <v>111</v>
      </c>
      <c r="B112" s="44">
        <v>311202004677</v>
      </c>
      <c r="C112" s="45" t="s">
        <v>403</v>
      </c>
      <c r="D112" s="44">
        <v>4600253924</v>
      </c>
      <c r="E112" s="44">
        <v>3003578</v>
      </c>
      <c r="F112" s="45" t="s">
        <v>376</v>
      </c>
      <c r="G112" s="46">
        <v>1</v>
      </c>
      <c r="H112" s="43" t="s">
        <v>375</v>
      </c>
      <c r="I112" s="46">
        <v>167349</v>
      </c>
      <c r="J112" s="46">
        <f t="shared" si="1"/>
        <v>167349</v>
      </c>
    </row>
    <row r="113" spans="1:10">
      <c r="A113" s="43">
        <v>112</v>
      </c>
      <c r="B113" s="44">
        <v>311202004677</v>
      </c>
      <c r="C113" s="45" t="s">
        <v>403</v>
      </c>
      <c r="D113" s="44">
        <v>4600253924</v>
      </c>
      <c r="E113" s="44">
        <v>3003586</v>
      </c>
      <c r="F113" s="45" t="s">
        <v>387</v>
      </c>
      <c r="G113" s="46">
        <v>1</v>
      </c>
      <c r="H113" s="43" t="s">
        <v>371</v>
      </c>
      <c r="I113" s="46">
        <v>6390012</v>
      </c>
      <c r="J113" s="46">
        <f t="shared" si="1"/>
        <v>6390012</v>
      </c>
    </row>
    <row r="114" spans="1:10">
      <c r="A114" s="43">
        <v>113</v>
      </c>
      <c r="B114" s="44">
        <v>311202004677</v>
      </c>
      <c r="C114" s="45" t="s">
        <v>403</v>
      </c>
      <c r="D114" s="44">
        <v>4600253924</v>
      </c>
      <c r="E114" s="44">
        <v>3003607</v>
      </c>
      <c r="F114" s="45" t="s">
        <v>383</v>
      </c>
      <c r="G114" s="46">
        <v>2</v>
      </c>
      <c r="H114" s="43" t="s">
        <v>379</v>
      </c>
      <c r="I114" s="46">
        <v>149131</v>
      </c>
      <c r="J114" s="46">
        <f t="shared" si="1"/>
        <v>298262</v>
      </c>
    </row>
    <row r="115" spans="1:10">
      <c r="A115" s="43">
        <v>114</v>
      </c>
      <c r="B115" s="44">
        <v>311202004677</v>
      </c>
      <c r="C115" s="45" t="s">
        <v>403</v>
      </c>
      <c r="D115" s="44">
        <v>4600253924</v>
      </c>
      <c r="E115" s="44">
        <v>3003623</v>
      </c>
      <c r="F115" s="45" t="s">
        <v>385</v>
      </c>
      <c r="G115" s="46">
        <v>1</v>
      </c>
      <c r="H115" s="43" t="s">
        <v>379</v>
      </c>
      <c r="I115" s="46">
        <v>987673</v>
      </c>
      <c r="J115" s="46">
        <f t="shared" si="1"/>
        <v>987673</v>
      </c>
    </row>
    <row r="116" spans="1:10">
      <c r="A116" s="43">
        <v>115</v>
      </c>
      <c r="B116" s="44">
        <v>311202004694</v>
      </c>
      <c r="C116" s="45" t="s">
        <v>404</v>
      </c>
      <c r="D116" s="44">
        <v>4600091884</v>
      </c>
      <c r="E116" s="44">
        <v>3003571</v>
      </c>
      <c r="F116" s="45" t="s">
        <v>370</v>
      </c>
      <c r="G116" s="46">
        <v>1</v>
      </c>
      <c r="H116" s="43" t="s">
        <v>371</v>
      </c>
      <c r="I116" s="46">
        <v>821630</v>
      </c>
      <c r="J116" s="46">
        <f t="shared" si="1"/>
        <v>821630</v>
      </c>
    </row>
    <row r="117" spans="1:10">
      <c r="A117" s="43">
        <v>116</v>
      </c>
      <c r="B117" s="44">
        <v>311202004694</v>
      </c>
      <c r="C117" s="45" t="s">
        <v>404</v>
      </c>
      <c r="D117" s="44">
        <v>4600091884</v>
      </c>
      <c r="E117" s="44">
        <v>3003572</v>
      </c>
      <c r="F117" s="45" t="s">
        <v>372</v>
      </c>
      <c r="G117" s="46">
        <v>1550</v>
      </c>
      <c r="H117" s="43" t="s">
        <v>373</v>
      </c>
      <c r="I117" s="46">
        <v>4094</v>
      </c>
      <c r="J117" s="46">
        <f t="shared" si="1"/>
        <v>6345700</v>
      </c>
    </row>
    <row r="118" spans="1:10">
      <c r="A118" s="43">
        <v>117</v>
      </c>
      <c r="B118" s="44">
        <v>311202004694</v>
      </c>
      <c r="C118" s="45" t="s">
        <v>404</v>
      </c>
      <c r="D118" s="44">
        <v>4600091884</v>
      </c>
      <c r="E118" s="44">
        <v>3003577</v>
      </c>
      <c r="F118" s="45" t="s">
        <v>374</v>
      </c>
      <c r="G118" s="46">
        <v>6</v>
      </c>
      <c r="H118" s="43" t="s">
        <v>375</v>
      </c>
      <c r="I118" s="46">
        <v>47159</v>
      </c>
      <c r="J118" s="46">
        <f t="shared" si="1"/>
        <v>282954</v>
      </c>
    </row>
    <row r="119" spans="1:10">
      <c r="A119" s="43">
        <v>118</v>
      </c>
      <c r="B119" s="44">
        <v>311202004694</v>
      </c>
      <c r="C119" s="45" t="s">
        <v>404</v>
      </c>
      <c r="D119" s="44">
        <v>4600091884</v>
      </c>
      <c r="E119" s="44">
        <v>3003578</v>
      </c>
      <c r="F119" s="45" t="s">
        <v>376</v>
      </c>
      <c r="G119" s="46">
        <v>4</v>
      </c>
      <c r="H119" s="43" t="s">
        <v>375</v>
      </c>
      <c r="I119" s="46">
        <v>167349</v>
      </c>
      <c r="J119" s="46">
        <f t="shared" si="1"/>
        <v>669396</v>
      </c>
    </row>
    <row r="120" spans="1:10">
      <c r="A120" s="43">
        <v>119</v>
      </c>
      <c r="B120" s="44">
        <v>311202004694</v>
      </c>
      <c r="C120" s="45" t="s">
        <v>404</v>
      </c>
      <c r="D120" s="44">
        <v>4600091884</v>
      </c>
      <c r="E120" s="44">
        <v>3003579</v>
      </c>
      <c r="F120" s="45" t="s">
        <v>377</v>
      </c>
      <c r="G120" s="46">
        <v>4</v>
      </c>
      <c r="H120" s="43" t="s">
        <v>375</v>
      </c>
      <c r="I120" s="46">
        <v>42495</v>
      </c>
      <c r="J120" s="46">
        <f t="shared" si="1"/>
        <v>169980</v>
      </c>
    </row>
    <row r="121" spans="1:10">
      <c r="A121" s="43">
        <v>120</v>
      </c>
      <c r="B121" s="44">
        <v>311202004694</v>
      </c>
      <c r="C121" s="45" t="s">
        <v>404</v>
      </c>
      <c r="D121" s="44">
        <v>4600091884</v>
      </c>
      <c r="E121" s="44">
        <v>3003581</v>
      </c>
      <c r="F121" s="45" t="s">
        <v>378</v>
      </c>
      <c r="G121" s="46">
        <v>35</v>
      </c>
      <c r="H121" s="43" t="s">
        <v>379</v>
      </c>
      <c r="I121" s="46">
        <v>11384</v>
      </c>
      <c r="J121" s="46">
        <f t="shared" si="1"/>
        <v>398440</v>
      </c>
    </row>
    <row r="122" spans="1:10">
      <c r="A122" s="43">
        <v>121</v>
      </c>
      <c r="B122" s="44">
        <v>311202004694</v>
      </c>
      <c r="C122" s="45" t="s">
        <v>404</v>
      </c>
      <c r="D122" s="44">
        <v>4600091884</v>
      </c>
      <c r="E122" s="44">
        <v>3003598</v>
      </c>
      <c r="F122" s="45" t="s">
        <v>381</v>
      </c>
      <c r="G122" s="46">
        <v>11</v>
      </c>
      <c r="H122" s="43" t="s">
        <v>379</v>
      </c>
      <c r="I122" s="46">
        <v>104353</v>
      </c>
      <c r="J122" s="46">
        <f t="shared" si="1"/>
        <v>1147883</v>
      </c>
    </row>
    <row r="123" spans="1:10">
      <c r="A123" s="43">
        <v>122</v>
      </c>
      <c r="B123" s="44">
        <v>311202004694</v>
      </c>
      <c r="C123" s="45" t="s">
        <v>404</v>
      </c>
      <c r="D123" s="44">
        <v>4600091884</v>
      </c>
      <c r="E123" s="44">
        <v>3003599</v>
      </c>
      <c r="F123" s="45" t="s">
        <v>382</v>
      </c>
      <c r="G123" s="46">
        <v>24</v>
      </c>
      <c r="H123" s="43" t="s">
        <v>379</v>
      </c>
      <c r="I123" s="46">
        <v>72382</v>
      </c>
      <c r="J123" s="46">
        <f t="shared" si="1"/>
        <v>1737168</v>
      </c>
    </row>
    <row r="124" spans="1:10">
      <c r="A124" s="43">
        <v>123</v>
      </c>
      <c r="B124" s="44">
        <v>311202004694</v>
      </c>
      <c r="C124" s="45" t="s">
        <v>404</v>
      </c>
      <c r="D124" s="44">
        <v>4600091884</v>
      </c>
      <c r="E124" s="44">
        <v>3003607</v>
      </c>
      <c r="F124" s="45" t="s">
        <v>383</v>
      </c>
      <c r="G124" s="46">
        <v>2</v>
      </c>
      <c r="H124" s="43" t="s">
        <v>379</v>
      </c>
      <c r="I124" s="46">
        <v>149131</v>
      </c>
      <c r="J124" s="46">
        <f t="shared" si="1"/>
        <v>298262</v>
      </c>
    </row>
    <row r="125" spans="1:10">
      <c r="A125" s="43">
        <v>124</v>
      </c>
      <c r="B125" s="44">
        <v>311202004694</v>
      </c>
      <c r="C125" s="45" t="s">
        <v>404</v>
      </c>
      <c r="D125" s="44">
        <v>4600091884</v>
      </c>
      <c r="E125" s="44">
        <v>3003618</v>
      </c>
      <c r="F125" s="45" t="s">
        <v>384</v>
      </c>
      <c r="G125" s="46">
        <v>1</v>
      </c>
      <c r="H125" s="43" t="s">
        <v>379</v>
      </c>
      <c r="I125" s="46">
        <v>1089630</v>
      </c>
      <c r="J125" s="46">
        <f t="shared" si="1"/>
        <v>1089630</v>
      </c>
    </row>
    <row r="126" spans="1:10">
      <c r="A126" s="43">
        <v>125</v>
      </c>
      <c r="B126" s="44">
        <v>311202004694</v>
      </c>
      <c r="C126" s="45" t="s">
        <v>404</v>
      </c>
      <c r="D126" s="44">
        <v>4600091884</v>
      </c>
      <c r="E126" s="44">
        <v>3003622</v>
      </c>
      <c r="F126" s="45" t="s">
        <v>389</v>
      </c>
      <c r="G126" s="46">
        <v>2</v>
      </c>
      <c r="H126" s="43" t="s">
        <v>379</v>
      </c>
      <c r="I126" s="46">
        <v>988293</v>
      </c>
      <c r="J126" s="46">
        <f t="shared" si="1"/>
        <v>1976586</v>
      </c>
    </row>
    <row r="127" spans="1:10">
      <c r="A127" s="43">
        <v>126</v>
      </c>
      <c r="B127" s="44">
        <v>311202004697</v>
      </c>
      <c r="C127" s="45" t="s">
        <v>405</v>
      </c>
      <c r="D127" s="44">
        <v>4600071429</v>
      </c>
      <c r="E127" s="44">
        <v>3003571</v>
      </c>
      <c r="F127" s="45" t="s">
        <v>370</v>
      </c>
      <c r="G127" s="46">
        <v>1</v>
      </c>
      <c r="H127" s="43" t="s">
        <v>371</v>
      </c>
      <c r="I127" s="46">
        <v>821630</v>
      </c>
      <c r="J127" s="46">
        <f t="shared" si="1"/>
        <v>821630</v>
      </c>
    </row>
    <row r="128" spans="1:10">
      <c r="A128" s="43">
        <v>127</v>
      </c>
      <c r="B128" s="44">
        <v>311202004697</v>
      </c>
      <c r="C128" s="45" t="s">
        <v>405</v>
      </c>
      <c r="D128" s="44">
        <v>4600071429</v>
      </c>
      <c r="E128" s="44">
        <v>3003578</v>
      </c>
      <c r="F128" s="45" t="s">
        <v>376</v>
      </c>
      <c r="G128" s="46">
        <v>1</v>
      </c>
      <c r="H128" s="43" t="s">
        <v>375</v>
      </c>
      <c r="I128" s="46">
        <v>167349</v>
      </c>
      <c r="J128" s="46">
        <f t="shared" si="1"/>
        <v>167349</v>
      </c>
    </row>
    <row r="129" spans="1:10">
      <c r="A129" s="43">
        <v>128</v>
      </c>
      <c r="B129" s="44">
        <v>311202004697</v>
      </c>
      <c r="C129" s="45" t="s">
        <v>405</v>
      </c>
      <c r="D129" s="44">
        <v>4600071429</v>
      </c>
      <c r="E129" s="44">
        <v>3003586</v>
      </c>
      <c r="F129" s="45" t="s">
        <v>387</v>
      </c>
      <c r="G129" s="46">
        <v>1</v>
      </c>
      <c r="H129" s="43" t="s">
        <v>371</v>
      </c>
      <c r="I129" s="46">
        <v>6390012</v>
      </c>
      <c r="J129" s="46">
        <f t="shared" si="1"/>
        <v>6390012</v>
      </c>
    </row>
    <row r="130" spans="1:10">
      <c r="A130" s="43">
        <v>129</v>
      </c>
      <c r="B130" s="44">
        <v>311202004697</v>
      </c>
      <c r="C130" s="45" t="s">
        <v>405</v>
      </c>
      <c r="D130" s="44">
        <v>4600071429</v>
      </c>
      <c r="E130" s="44">
        <v>3003607</v>
      </c>
      <c r="F130" s="45" t="s">
        <v>383</v>
      </c>
      <c r="G130" s="46">
        <v>1</v>
      </c>
      <c r="H130" s="43" t="s">
        <v>379</v>
      </c>
      <c r="I130" s="46">
        <v>149131</v>
      </c>
      <c r="J130" s="46">
        <f t="shared" ref="J130:J193" si="2">G130*I130</f>
        <v>149131</v>
      </c>
    </row>
    <row r="131" spans="1:10">
      <c r="A131" s="43">
        <v>130</v>
      </c>
      <c r="B131" s="44">
        <v>311202004697</v>
      </c>
      <c r="C131" s="45" t="s">
        <v>405</v>
      </c>
      <c r="D131" s="44">
        <v>4600071429</v>
      </c>
      <c r="E131" s="44">
        <v>3003622</v>
      </c>
      <c r="F131" s="45" t="s">
        <v>389</v>
      </c>
      <c r="G131" s="46">
        <v>1</v>
      </c>
      <c r="H131" s="43" t="s">
        <v>379</v>
      </c>
      <c r="I131" s="46">
        <v>988293</v>
      </c>
      <c r="J131" s="46">
        <f t="shared" si="2"/>
        <v>988293</v>
      </c>
    </row>
    <row r="132" spans="1:10">
      <c r="A132" s="43">
        <v>131</v>
      </c>
      <c r="B132" s="44">
        <v>311202004697</v>
      </c>
      <c r="C132" s="45" t="s">
        <v>405</v>
      </c>
      <c r="D132" s="44">
        <v>4600071429</v>
      </c>
      <c r="E132" s="44">
        <v>3003660</v>
      </c>
      <c r="F132" s="45" t="s">
        <v>393</v>
      </c>
      <c r="G132" s="46">
        <v>1</v>
      </c>
      <c r="H132" s="43" t="s">
        <v>371</v>
      </c>
      <c r="I132" s="46">
        <v>717970</v>
      </c>
      <c r="J132" s="46">
        <f t="shared" si="2"/>
        <v>717970</v>
      </c>
    </row>
    <row r="133" spans="1:10">
      <c r="A133" s="43">
        <v>132</v>
      </c>
      <c r="B133" s="44">
        <v>311202004698</v>
      </c>
      <c r="C133" s="45" t="s">
        <v>406</v>
      </c>
      <c r="D133" s="44">
        <v>4600071432</v>
      </c>
      <c r="E133" s="44">
        <v>3003571</v>
      </c>
      <c r="F133" s="45" t="s">
        <v>370</v>
      </c>
      <c r="G133" s="46">
        <v>1</v>
      </c>
      <c r="H133" s="43" t="s">
        <v>371</v>
      </c>
      <c r="I133" s="46">
        <v>821630</v>
      </c>
      <c r="J133" s="46">
        <f t="shared" si="2"/>
        <v>821630</v>
      </c>
    </row>
    <row r="134" spans="1:10">
      <c r="A134" s="43">
        <v>133</v>
      </c>
      <c r="B134" s="44">
        <v>311202004698</v>
      </c>
      <c r="C134" s="45" t="s">
        <v>406</v>
      </c>
      <c r="D134" s="44">
        <v>4600071432</v>
      </c>
      <c r="E134" s="44">
        <v>3003578</v>
      </c>
      <c r="F134" s="45" t="s">
        <v>376</v>
      </c>
      <c r="G134" s="46">
        <v>1</v>
      </c>
      <c r="H134" s="43" t="s">
        <v>375</v>
      </c>
      <c r="I134" s="46">
        <v>167349</v>
      </c>
      <c r="J134" s="46">
        <f t="shared" si="2"/>
        <v>167349</v>
      </c>
    </row>
    <row r="135" spans="1:10">
      <c r="A135" s="43">
        <v>134</v>
      </c>
      <c r="B135" s="44">
        <v>311202004698</v>
      </c>
      <c r="C135" s="45" t="s">
        <v>406</v>
      </c>
      <c r="D135" s="44">
        <v>4600071432</v>
      </c>
      <c r="E135" s="44">
        <v>3003586</v>
      </c>
      <c r="F135" s="45" t="s">
        <v>387</v>
      </c>
      <c r="G135" s="46">
        <v>1</v>
      </c>
      <c r="H135" s="43" t="s">
        <v>371</v>
      </c>
      <c r="I135" s="46">
        <v>6390012</v>
      </c>
      <c r="J135" s="46">
        <f t="shared" si="2"/>
        <v>6390012</v>
      </c>
    </row>
    <row r="136" spans="1:10">
      <c r="A136" s="43">
        <v>135</v>
      </c>
      <c r="B136" s="44">
        <v>311202004698</v>
      </c>
      <c r="C136" s="45" t="s">
        <v>406</v>
      </c>
      <c r="D136" s="44">
        <v>4600071432</v>
      </c>
      <c r="E136" s="44">
        <v>3003607</v>
      </c>
      <c r="F136" s="45" t="s">
        <v>383</v>
      </c>
      <c r="G136" s="46">
        <v>1</v>
      </c>
      <c r="H136" s="43" t="s">
        <v>379</v>
      </c>
      <c r="I136" s="46">
        <v>149131</v>
      </c>
      <c r="J136" s="46">
        <f t="shared" si="2"/>
        <v>149131</v>
      </c>
    </row>
    <row r="137" spans="1:10">
      <c r="A137" s="43">
        <v>136</v>
      </c>
      <c r="B137" s="44">
        <v>311202004698</v>
      </c>
      <c r="C137" s="45" t="s">
        <v>406</v>
      </c>
      <c r="D137" s="44">
        <v>4600071432</v>
      </c>
      <c r="E137" s="44">
        <v>3003622</v>
      </c>
      <c r="F137" s="45" t="s">
        <v>389</v>
      </c>
      <c r="G137" s="46">
        <v>1</v>
      </c>
      <c r="H137" s="43" t="s">
        <v>379</v>
      </c>
      <c r="I137" s="46">
        <v>988293</v>
      </c>
      <c r="J137" s="46">
        <f t="shared" si="2"/>
        <v>988293</v>
      </c>
    </row>
    <row r="138" spans="1:10">
      <c r="A138" s="43">
        <v>137</v>
      </c>
      <c r="B138" s="44">
        <v>311202004698</v>
      </c>
      <c r="C138" s="45" t="s">
        <v>406</v>
      </c>
      <c r="D138" s="44">
        <v>4600071432</v>
      </c>
      <c r="E138" s="44">
        <v>3003660</v>
      </c>
      <c r="F138" s="45" t="s">
        <v>393</v>
      </c>
      <c r="G138" s="46">
        <v>1</v>
      </c>
      <c r="H138" s="43" t="s">
        <v>371</v>
      </c>
      <c r="I138" s="46">
        <v>717970</v>
      </c>
      <c r="J138" s="46">
        <f t="shared" si="2"/>
        <v>717970</v>
      </c>
    </row>
    <row r="139" spans="1:10">
      <c r="A139" s="43">
        <v>138</v>
      </c>
      <c r="B139" s="44">
        <v>311202004699</v>
      </c>
      <c r="C139" s="45" t="s">
        <v>407</v>
      </c>
      <c r="D139" s="44">
        <v>4600071144</v>
      </c>
      <c r="E139" s="44">
        <v>3003571</v>
      </c>
      <c r="F139" s="45" t="s">
        <v>370</v>
      </c>
      <c r="G139" s="46">
        <v>1</v>
      </c>
      <c r="H139" s="43" t="s">
        <v>371</v>
      </c>
      <c r="I139" s="46">
        <v>821630</v>
      </c>
      <c r="J139" s="46">
        <f t="shared" si="2"/>
        <v>821630</v>
      </c>
    </row>
    <row r="140" spans="1:10">
      <c r="A140" s="43">
        <v>139</v>
      </c>
      <c r="B140" s="44">
        <v>311202004699</v>
      </c>
      <c r="C140" s="45" t="s">
        <v>407</v>
      </c>
      <c r="D140" s="44">
        <v>4600071144</v>
      </c>
      <c r="E140" s="44">
        <v>3003578</v>
      </c>
      <c r="F140" s="45" t="s">
        <v>376</v>
      </c>
      <c r="G140" s="46">
        <v>1</v>
      </c>
      <c r="H140" s="43" t="s">
        <v>375</v>
      </c>
      <c r="I140" s="46">
        <v>167349</v>
      </c>
      <c r="J140" s="46">
        <f t="shared" si="2"/>
        <v>167349</v>
      </c>
    </row>
    <row r="141" spans="1:10">
      <c r="A141" s="43">
        <v>140</v>
      </c>
      <c r="B141" s="44">
        <v>311202004699</v>
      </c>
      <c r="C141" s="45" t="s">
        <v>407</v>
      </c>
      <c r="D141" s="44">
        <v>4600071144</v>
      </c>
      <c r="E141" s="44">
        <v>3003586</v>
      </c>
      <c r="F141" s="45" t="s">
        <v>387</v>
      </c>
      <c r="G141" s="46">
        <v>1</v>
      </c>
      <c r="H141" s="43" t="s">
        <v>371</v>
      </c>
      <c r="I141" s="46">
        <v>6390012</v>
      </c>
      <c r="J141" s="46">
        <f t="shared" si="2"/>
        <v>6390012</v>
      </c>
    </row>
    <row r="142" spans="1:10">
      <c r="A142" s="43">
        <v>141</v>
      </c>
      <c r="B142" s="44">
        <v>311202004699</v>
      </c>
      <c r="C142" s="45" t="s">
        <v>407</v>
      </c>
      <c r="D142" s="44">
        <v>4600071144</v>
      </c>
      <c r="E142" s="44">
        <v>3003607</v>
      </c>
      <c r="F142" s="45" t="s">
        <v>383</v>
      </c>
      <c r="G142" s="46">
        <v>1</v>
      </c>
      <c r="H142" s="43" t="s">
        <v>379</v>
      </c>
      <c r="I142" s="46">
        <v>149131</v>
      </c>
      <c r="J142" s="46">
        <f t="shared" si="2"/>
        <v>149131</v>
      </c>
    </row>
    <row r="143" spans="1:10">
      <c r="A143" s="43">
        <v>142</v>
      </c>
      <c r="B143" s="44">
        <v>311202004699</v>
      </c>
      <c r="C143" s="45" t="s">
        <v>407</v>
      </c>
      <c r="D143" s="44">
        <v>4600071144</v>
      </c>
      <c r="E143" s="44">
        <v>3003622</v>
      </c>
      <c r="F143" s="45" t="s">
        <v>389</v>
      </c>
      <c r="G143" s="46">
        <v>1</v>
      </c>
      <c r="H143" s="43" t="s">
        <v>379</v>
      </c>
      <c r="I143" s="46">
        <v>988293</v>
      </c>
      <c r="J143" s="46">
        <f t="shared" si="2"/>
        <v>988293</v>
      </c>
    </row>
    <row r="144" spans="1:10">
      <c r="A144" s="43">
        <v>143</v>
      </c>
      <c r="B144" s="44">
        <v>311202004699</v>
      </c>
      <c r="C144" s="45" t="s">
        <v>407</v>
      </c>
      <c r="D144" s="44">
        <v>4600071144</v>
      </c>
      <c r="E144" s="44">
        <v>3003660</v>
      </c>
      <c r="F144" s="45" t="s">
        <v>393</v>
      </c>
      <c r="G144" s="46">
        <v>1</v>
      </c>
      <c r="H144" s="43" t="s">
        <v>371</v>
      </c>
      <c r="I144" s="46">
        <v>717970</v>
      </c>
      <c r="J144" s="46">
        <f t="shared" si="2"/>
        <v>717970</v>
      </c>
    </row>
    <row r="145" spans="1:10">
      <c r="A145" s="43">
        <v>144</v>
      </c>
      <c r="B145" s="44">
        <v>311202004700</v>
      </c>
      <c r="C145" s="45" t="s">
        <v>408</v>
      </c>
      <c r="D145" s="44">
        <v>4600071215</v>
      </c>
      <c r="E145" s="44">
        <v>3003571</v>
      </c>
      <c r="F145" s="45" t="s">
        <v>370</v>
      </c>
      <c r="G145" s="46">
        <v>1</v>
      </c>
      <c r="H145" s="43" t="s">
        <v>371</v>
      </c>
      <c r="I145" s="46">
        <v>821630</v>
      </c>
      <c r="J145" s="46">
        <f t="shared" si="2"/>
        <v>821630</v>
      </c>
    </row>
    <row r="146" spans="1:10">
      <c r="A146" s="43">
        <v>145</v>
      </c>
      <c r="B146" s="44">
        <v>311202004700</v>
      </c>
      <c r="C146" s="45" t="s">
        <v>408</v>
      </c>
      <c r="D146" s="44">
        <v>4600071215</v>
      </c>
      <c r="E146" s="44">
        <v>3003578</v>
      </c>
      <c r="F146" s="45" t="s">
        <v>376</v>
      </c>
      <c r="G146" s="46">
        <v>1</v>
      </c>
      <c r="H146" s="43" t="s">
        <v>375</v>
      </c>
      <c r="I146" s="46">
        <v>167349</v>
      </c>
      <c r="J146" s="46">
        <f t="shared" si="2"/>
        <v>167349</v>
      </c>
    </row>
    <row r="147" spans="1:10">
      <c r="A147" s="43">
        <v>146</v>
      </c>
      <c r="B147" s="44">
        <v>311202004700</v>
      </c>
      <c r="C147" s="45" t="s">
        <v>408</v>
      </c>
      <c r="D147" s="44">
        <v>4600071215</v>
      </c>
      <c r="E147" s="44">
        <v>3003586</v>
      </c>
      <c r="F147" s="45" t="s">
        <v>387</v>
      </c>
      <c r="G147" s="46">
        <v>1</v>
      </c>
      <c r="H147" s="43" t="s">
        <v>371</v>
      </c>
      <c r="I147" s="46">
        <v>6390012</v>
      </c>
      <c r="J147" s="46">
        <f t="shared" si="2"/>
        <v>6390012</v>
      </c>
    </row>
    <row r="148" spans="1:10">
      <c r="A148" s="43">
        <v>147</v>
      </c>
      <c r="B148" s="44">
        <v>311202004700</v>
      </c>
      <c r="C148" s="45" t="s">
        <v>408</v>
      </c>
      <c r="D148" s="44">
        <v>4600071215</v>
      </c>
      <c r="E148" s="44">
        <v>3003607</v>
      </c>
      <c r="F148" s="45" t="s">
        <v>383</v>
      </c>
      <c r="G148" s="46">
        <v>1</v>
      </c>
      <c r="H148" s="43" t="s">
        <v>379</v>
      </c>
      <c r="I148" s="46">
        <v>149131</v>
      </c>
      <c r="J148" s="46">
        <f t="shared" si="2"/>
        <v>149131</v>
      </c>
    </row>
    <row r="149" spans="1:10">
      <c r="A149" s="43">
        <v>148</v>
      </c>
      <c r="B149" s="44">
        <v>311202004700</v>
      </c>
      <c r="C149" s="45" t="s">
        <v>408</v>
      </c>
      <c r="D149" s="44">
        <v>4600071215</v>
      </c>
      <c r="E149" s="44">
        <v>3003622</v>
      </c>
      <c r="F149" s="45" t="s">
        <v>389</v>
      </c>
      <c r="G149" s="46">
        <v>1</v>
      </c>
      <c r="H149" s="43" t="s">
        <v>379</v>
      </c>
      <c r="I149" s="46">
        <v>988293</v>
      </c>
      <c r="J149" s="46">
        <f t="shared" si="2"/>
        <v>988293</v>
      </c>
    </row>
    <row r="150" spans="1:10">
      <c r="A150" s="43">
        <v>149</v>
      </c>
      <c r="B150" s="44">
        <v>311202004700</v>
      </c>
      <c r="C150" s="45" t="s">
        <v>408</v>
      </c>
      <c r="D150" s="44">
        <v>4600071215</v>
      </c>
      <c r="E150" s="44">
        <v>3003660</v>
      </c>
      <c r="F150" s="45" t="s">
        <v>393</v>
      </c>
      <c r="G150" s="46">
        <v>1</v>
      </c>
      <c r="H150" s="43" t="s">
        <v>371</v>
      </c>
      <c r="I150" s="46">
        <v>717970</v>
      </c>
      <c r="J150" s="46">
        <f t="shared" si="2"/>
        <v>717970</v>
      </c>
    </row>
    <row r="151" spans="1:10">
      <c r="A151" s="43">
        <v>150</v>
      </c>
      <c r="B151" s="44">
        <v>311202004701</v>
      </c>
      <c r="C151" s="45" t="s">
        <v>409</v>
      </c>
      <c r="D151" s="44">
        <v>4600071157</v>
      </c>
      <c r="E151" s="44">
        <v>3003571</v>
      </c>
      <c r="F151" s="45" t="s">
        <v>370</v>
      </c>
      <c r="G151" s="46">
        <v>1</v>
      </c>
      <c r="H151" s="43" t="s">
        <v>371</v>
      </c>
      <c r="I151" s="46">
        <v>821630</v>
      </c>
      <c r="J151" s="46">
        <f t="shared" si="2"/>
        <v>821630</v>
      </c>
    </row>
    <row r="152" spans="1:10">
      <c r="A152" s="43">
        <v>151</v>
      </c>
      <c r="B152" s="44">
        <v>311202004701</v>
      </c>
      <c r="C152" s="45" t="s">
        <v>409</v>
      </c>
      <c r="D152" s="44">
        <v>4600071157</v>
      </c>
      <c r="E152" s="44">
        <v>3003572</v>
      </c>
      <c r="F152" s="45" t="s">
        <v>372</v>
      </c>
      <c r="G152" s="46">
        <v>1000</v>
      </c>
      <c r="H152" s="43" t="s">
        <v>373</v>
      </c>
      <c r="I152" s="46">
        <v>4094</v>
      </c>
      <c r="J152" s="46">
        <f t="shared" si="2"/>
        <v>4094000</v>
      </c>
    </row>
    <row r="153" spans="1:10">
      <c r="A153" s="43">
        <v>152</v>
      </c>
      <c r="B153" s="44">
        <v>311202004701</v>
      </c>
      <c r="C153" s="45" t="s">
        <v>409</v>
      </c>
      <c r="D153" s="44">
        <v>4600071157</v>
      </c>
      <c r="E153" s="44">
        <v>3003577</v>
      </c>
      <c r="F153" s="45" t="s">
        <v>374</v>
      </c>
      <c r="G153" s="46">
        <v>1</v>
      </c>
      <c r="H153" s="43" t="s">
        <v>375</v>
      </c>
      <c r="I153" s="46">
        <v>47159</v>
      </c>
      <c r="J153" s="46">
        <f t="shared" si="2"/>
        <v>47159</v>
      </c>
    </row>
    <row r="154" spans="1:10">
      <c r="A154" s="43">
        <v>153</v>
      </c>
      <c r="B154" s="44">
        <v>311202004701</v>
      </c>
      <c r="C154" s="45" t="s">
        <v>409</v>
      </c>
      <c r="D154" s="44">
        <v>4600071157</v>
      </c>
      <c r="E154" s="44">
        <v>3003578</v>
      </c>
      <c r="F154" s="45" t="s">
        <v>376</v>
      </c>
      <c r="G154" s="46">
        <v>1</v>
      </c>
      <c r="H154" s="43" t="s">
        <v>375</v>
      </c>
      <c r="I154" s="46">
        <v>167349</v>
      </c>
      <c r="J154" s="46">
        <f t="shared" si="2"/>
        <v>167349</v>
      </c>
    </row>
    <row r="155" spans="1:10">
      <c r="A155" s="43">
        <v>154</v>
      </c>
      <c r="B155" s="44">
        <v>311202004701</v>
      </c>
      <c r="C155" s="45" t="s">
        <v>409</v>
      </c>
      <c r="D155" s="44">
        <v>4600071157</v>
      </c>
      <c r="E155" s="44">
        <v>3003579</v>
      </c>
      <c r="F155" s="45" t="s">
        <v>377</v>
      </c>
      <c r="G155" s="46">
        <v>1</v>
      </c>
      <c r="H155" s="43" t="s">
        <v>375</v>
      </c>
      <c r="I155" s="46">
        <v>42495</v>
      </c>
      <c r="J155" s="46">
        <f t="shared" si="2"/>
        <v>42495</v>
      </c>
    </row>
    <row r="156" spans="1:10">
      <c r="A156" s="43">
        <v>155</v>
      </c>
      <c r="B156" s="44">
        <v>311202004701</v>
      </c>
      <c r="C156" s="45" t="s">
        <v>409</v>
      </c>
      <c r="D156" s="44">
        <v>4600071157</v>
      </c>
      <c r="E156" s="44">
        <v>3003598</v>
      </c>
      <c r="F156" s="45" t="s">
        <v>381</v>
      </c>
      <c r="G156" s="46">
        <v>7</v>
      </c>
      <c r="H156" s="43" t="s">
        <v>379</v>
      </c>
      <c r="I156" s="46">
        <v>104353</v>
      </c>
      <c r="J156" s="46">
        <f t="shared" si="2"/>
        <v>730471</v>
      </c>
    </row>
    <row r="157" spans="1:10">
      <c r="A157" s="43">
        <v>156</v>
      </c>
      <c r="B157" s="44">
        <v>311202004701</v>
      </c>
      <c r="C157" s="45" t="s">
        <v>409</v>
      </c>
      <c r="D157" s="44">
        <v>4600071157</v>
      </c>
      <c r="E157" s="44">
        <v>3003599</v>
      </c>
      <c r="F157" s="45" t="s">
        <v>382</v>
      </c>
      <c r="G157" s="46">
        <v>15</v>
      </c>
      <c r="H157" s="43" t="s">
        <v>379</v>
      </c>
      <c r="I157" s="46">
        <v>72382</v>
      </c>
      <c r="J157" s="46">
        <f t="shared" si="2"/>
        <v>1085730</v>
      </c>
    </row>
    <row r="158" spans="1:10">
      <c r="A158" s="43">
        <v>157</v>
      </c>
      <c r="B158" s="44">
        <v>311202004701</v>
      </c>
      <c r="C158" s="45" t="s">
        <v>409</v>
      </c>
      <c r="D158" s="44">
        <v>4600071157</v>
      </c>
      <c r="E158" s="44">
        <v>3003607</v>
      </c>
      <c r="F158" s="45" t="s">
        <v>383</v>
      </c>
      <c r="G158" s="46">
        <v>1</v>
      </c>
      <c r="H158" s="43" t="s">
        <v>379</v>
      </c>
      <c r="I158" s="46">
        <v>149131</v>
      </c>
      <c r="J158" s="46">
        <f t="shared" si="2"/>
        <v>149131</v>
      </c>
    </row>
    <row r="159" spans="1:10">
      <c r="A159" s="43">
        <v>158</v>
      </c>
      <c r="B159" s="44">
        <v>311202004701</v>
      </c>
      <c r="C159" s="45" t="s">
        <v>409</v>
      </c>
      <c r="D159" s="44">
        <v>4600071157</v>
      </c>
      <c r="E159" s="44">
        <v>3003619</v>
      </c>
      <c r="F159" s="45" t="s">
        <v>397</v>
      </c>
      <c r="G159" s="46">
        <v>2</v>
      </c>
      <c r="H159" s="43" t="s">
        <v>379</v>
      </c>
      <c r="I159" s="46">
        <v>1294780</v>
      </c>
      <c r="J159" s="46">
        <f t="shared" si="2"/>
        <v>2589560</v>
      </c>
    </row>
    <row r="160" spans="1:10">
      <c r="A160" s="43">
        <v>159</v>
      </c>
      <c r="B160" s="44">
        <v>311202004701</v>
      </c>
      <c r="C160" s="45" t="s">
        <v>409</v>
      </c>
      <c r="D160" s="44">
        <v>4600071157</v>
      </c>
      <c r="E160" s="44">
        <v>3003622</v>
      </c>
      <c r="F160" s="45" t="s">
        <v>389</v>
      </c>
      <c r="G160" s="46">
        <v>1</v>
      </c>
      <c r="H160" s="43" t="s">
        <v>379</v>
      </c>
      <c r="I160" s="46">
        <v>988293</v>
      </c>
      <c r="J160" s="46">
        <f t="shared" si="2"/>
        <v>988293</v>
      </c>
    </row>
    <row r="161" spans="1:10">
      <c r="A161" s="43">
        <v>160</v>
      </c>
      <c r="B161" s="44">
        <v>311202004701</v>
      </c>
      <c r="C161" s="45" t="s">
        <v>409</v>
      </c>
      <c r="D161" s="44">
        <v>4600071157</v>
      </c>
      <c r="E161" s="44">
        <v>3003660</v>
      </c>
      <c r="F161" s="45" t="s">
        <v>393</v>
      </c>
      <c r="G161" s="46">
        <v>1</v>
      </c>
      <c r="H161" s="43" t="s">
        <v>371</v>
      </c>
      <c r="I161" s="46">
        <v>717970</v>
      </c>
      <c r="J161" s="46">
        <f t="shared" si="2"/>
        <v>717970</v>
      </c>
    </row>
    <row r="162" spans="1:10">
      <c r="A162" s="43">
        <v>161</v>
      </c>
      <c r="B162" s="44">
        <v>311202004701</v>
      </c>
      <c r="C162" s="45" t="s">
        <v>409</v>
      </c>
      <c r="D162" s="44">
        <v>4600071157</v>
      </c>
      <c r="E162" s="44">
        <v>3003660</v>
      </c>
      <c r="F162" s="45" t="s">
        <v>393</v>
      </c>
      <c r="G162" s="46">
        <v>1</v>
      </c>
      <c r="H162" s="43" t="s">
        <v>371</v>
      </c>
      <c r="I162" s="46">
        <v>717970</v>
      </c>
      <c r="J162" s="46">
        <f t="shared" si="2"/>
        <v>717970</v>
      </c>
    </row>
    <row r="163" spans="1:10">
      <c r="A163" s="43">
        <v>162</v>
      </c>
      <c r="B163" s="44">
        <v>311202004705</v>
      </c>
      <c r="C163" s="45" t="s">
        <v>410</v>
      </c>
      <c r="D163" s="44">
        <v>4600067030</v>
      </c>
      <c r="E163" s="44">
        <v>3003571</v>
      </c>
      <c r="F163" s="45" t="s">
        <v>370</v>
      </c>
      <c r="G163" s="46">
        <v>1</v>
      </c>
      <c r="H163" s="43" t="s">
        <v>371</v>
      </c>
      <c r="I163" s="46">
        <v>821630</v>
      </c>
      <c r="J163" s="46">
        <f t="shared" si="2"/>
        <v>821630</v>
      </c>
    </row>
    <row r="164" spans="1:10">
      <c r="A164" s="43">
        <v>163</v>
      </c>
      <c r="B164" s="44">
        <v>311202004705</v>
      </c>
      <c r="C164" s="45" t="s">
        <v>410</v>
      </c>
      <c r="D164" s="44">
        <v>4600067030</v>
      </c>
      <c r="E164" s="44">
        <v>3003581</v>
      </c>
      <c r="F164" s="45" t="s">
        <v>378</v>
      </c>
      <c r="G164" s="46">
        <v>4</v>
      </c>
      <c r="H164" s="43" t="s">
        <v>379</v>
      </c>
      <c r="I164" s="46">
        <v>11384</v>
      </c>
      <c r="J164" s="46">
        <f t="shared" si="2"/>
        <v>45536</v>
      </c>
    </row>
    <row r="165" spans="1:10">
      <c r="A165" s="43">
        <v>164</v>
      </c>
      <c r="B165" s="44">
        <v>311202004705</v>
      </c>
      <c r="C165" s="45" t="s">
        <v>410</v>
      </c>
      <c r="D165" s="44">
        <v>4600067030</v>
      </c>
      <c r="E165" s="44">
        <v>3003582</v>
      </c>
      <c r="F165" s="45" t="s">
        <v>391</v>
      </c>
      <c r="G165" s="46">
        <v>2</v>
      </c>
      <c r="H165" s="43" t="s">
        <v>371</v>
      </c>
      <c r="I165" s="46">
        <v>11384</v>
      </c>
      <c r="J165" s="46">
        <f t="shared" si="2"/>
        <v>22768</v>
      </c>
    </row>
    <row r="166" spans="1:10">
      <c r="A166" s="43">
        <v>165</v>
      </c>
      <c r="B166" s="44">
        <v>311202004705</v>
      </c>
      <c r="C166" s="45" t="s">
        <v>410</v>
      </c>
      <c r="D166" s="44">
        <v>4600067030</v>
      </c>
      <c r="E166" s="44">
        <v>3003583</v>
      </c>
      <c r="F166" s="45" t="s">
        <v>411</v>
      </c>
      <c r="G166" s="46">
        <v>1</v>
      </c>
      <c r="H166" s="43" t="s">
        <v>375</v>
      </c>
      <c r="I166" s="46">
        <v>1170516</v>
      </c>
      <c r="J166" s="46">
        <f t="shared" si="2"/>
        <v>1170516</v>
      </c>
    </row>
    <row r="167" spans="1:10">
      <c r="A167" s="43">
        <v>166</v>
      </c>
      <c r="B167" s="44">
        <v>311202004705</v>
      </c>
      <c r="C167" s="45" t="s">
        <v>410</v>
      </c>
      <c r="D167" s="44">
        <v>4600067030</v>
      </c>
      <c r="E167" s="44">
        <v>3003586</v>
      </c>
      <c r="F167" s="45" t="s">
        <v>387</v>
      </c>
      <c r="G167" s="46">
        <v>1</v>
      </c>
      <c r="H167" s="43" t="s">
        <v>371</v>
      </c>
      <c r="I167" s="46">
        <v>6390012</v>
      </c>
      <c r="J167" s="46">
        <f t="shared" si="2"/>
        <v>6390012</v>
      </c>
    </row>
    <row r="168" spans="1:10">
      <c r="A168" s="43">
        <v>167</v>
      </c>
      <c r="B168" s="44">
        <v>311202004705</v>
      </c>
      <c r="C168" s="45" t="s">
        <v>410</v>
      </c>
      <c r="D168" s="44">
        <v>4600067030</v>
      </c>
      <c r="E168" s="44">
        <v>3003609</v>
      </c>
      <c r="F168" s="45" t="s">
        <v>388</v>
      </c>
      <c r="G168" s="46">
        <v>2</v>
      </c>
      <c r="H168" s="43" t="s">
        <v>379</v>
      </c>
      <c r="I168" s="46">
        <v>222219</v>
      </c>
      <c r="J168" s="46">
        <f t="shared" si="2"/>
        <v>444438</v>
      </c>
    </row>
    <row r="169" spans="1:10">
      <c r="A169" s="43">
        <v>168</v>
      </c>
      <c r="B169" s="44">
        <v>311202004707</v>
      </c>
      <c r="C169" s="45" t="s">
        <v>412</v>
      </c>
      <c r="D169" s="44">
        <v>4600071156</v>
      </c>
      <c r="E169" s="44">
        <v>3003571</v>
      </c>
      <c r="F169" s="45" t="s">
        <v>370</v>
      </c>
      <c r="G169" s="46">
        <v>1</v>
      </c>
      <c r="H169" s="43" t="s">
        <v>371</v>
      </c>
      <c r="I169" s="46">
        <v>821630</v>
      </c>
      <c r="J169" s="46">
        <f t="shared" si="2"/>
        <v>821630</v>
      </c>
    </row>
    <row r="170" spans="1:10">
      <c r="A170" s="43">
        <v>169</v>
      </c>
      <c r="B170" s="44">
        <v>311202004707</v>
      </c>
      <c r="C170" s="45" t="s">
        <v>412</v>
      </c>
      <c r="D170" s="44">
        <v>4600071156</v>
      </c>
      <c r="E170" s="44">
        <v>3003578</v>
      </c>
      <c r="F170" s="45" t="s">
        <v>376</v>
      </c>
      <c r="G170" s="46">
        <v>1</v>
      </c>
      <c r="H170" s="43" t="s">
        <v>375</v>
      </c>
      <c r="I170" s="46">
        <v>167349</v>
      </c>
      <c r="J170" s="46">
        <f t="shared" si="2"/>
        <v>167349</v>
      </c>
    </row>
    <row r="171" spans="1:10">
      <c r="A171" s="43">
        <v>170</v>
      </c>
      <c r="B171" s="44">
        <v>311202004707</v>
      </c>
      <c r="C171" s="45" t="s">
        <v>412</v>
      </c>
      <c r="D171" s="44">
        <v>4600071156</v>
      </c>
      <c r="E171" s="44">
        <v>3003586</v>
      </c>
      <c r="F171" s="45" t="s">
        <v>387</v>
      </c>
      <c r="G171" s="46">
        <v>1</v>
      </c>
      <c r="H171" s="43" t="s">
        <v>371</v>
      </c>
      <c r="I171" s="46">
        <v>6390012</v>
      </c>
      <c r="J171" s="46">
        <f t="shared" si="2"/>
        <v>6390012</v>
      </c>
    </row>
    <row r="172" spans="1:10">
      <c r="A172" s="43">
        <v>171</v>
      </c>
      <c r="B172" s="44">
        <v>311202004707</v>
      </c>
      <c r="C172" s="45" t="s">
        <v>412</v>
      </c>
      <c r="D172" s="44">
        <v>4600071156</v>
      </c>
      <c r="E172" s="44">
        <v>3003607</v>
      </c>
      <c r="F172" s="45" t="s">
        <v>383</v>
      </c>
      <c r="G172" s="46">
        <v>1</v>
      </c>
      <c r="H172" s="43" t="s">
        <v>379</v>
      </c>
      <c r="I172" s="46">
        <v>149131</v>
      </c>
      <c r="J172" s="46">
        <f t="shared" si="2"/>
        <v>149131</v>
      </c>
    </row>
    <row r="173" spans="1:10">
      <c r="A173" s="43">
        <v>172</v>
      </c>
      <c r="B173" s="44">
        <v>311202004707</v>
      </c>
      <c r="C173" s="45" t="s">
        <v>412</v>
      </c>
      <c r="D173" s="44">
        <v>4600071156</v>
      </c>
      <c r="E173" s="44">
        <v>3003622</v>
      </c>
      <c r="F173" s="45" t="s">
        <v>389</v>
      </c>
      <c r="G173" s="46">
        <v>1</v>
      </c>
      <c r="H173" s="43" t="s">
        <v>379</v>
      </c>
      <c r="I173" s="46">
        <v>988293</v>
      </c>
      <c r="J173" s="46">
        <f t="shared" si="2"/>
        <v>988293</v>
      </c>
    </row>
    <row r="174" spans="1:10">
      <c r="A174" s="43">
        <v>173</v>
      </c>
      <c r="B174" s="44">
        <v>311202004707</v>
      </c>
      <c r="C174" s="45" t="s">
        <v>412</v>
      </c>
      <c r="D174" s="44">
        <v>4600071156</v>
      </c>
      <c r="E174" s="44">
        <v>3003660</v>
      </c>
      <c r="F174" s="45" t="s">
        <v>393</v>
      </c>
      <c r="G174" s="46">
        <v>1</v>
      </c>
      <c r="H174" s="43" t="s">
        <v>371</v>
      </c>
      <c r="I174" s="46">
        <v>717970</v>
      </c>
      <c r="J174" s="46">
        <f t="shared" si="2"/>
        <v>717970</v>
      </c>
    </row>
    <row r="175" spans="1:10">
      <c r="A175" s="43">
        <v>174</v>
      </c>
      <c r="B175" s="44">
        <v>311202004708</v>
      </c>
      <c r="C175" s="45" t="s">
        <v>413</v>
      </c>
      <c r="D175" s="44">
        <v>4600071224</v>
      </c>
      <c r="E175" s="44">
        <v>3003571</v>
      </c>
      <c r="F175" s="45" t="s">
        <v>370</v>
      </c>
      <c r="G175" s="46">
        <v>1</v>
      </c>
      <c r="H175" s="43" t="s">
        <v>371</v>
      </c>
      <c r="I175" s="46">
        <v>821630</v>
      </c>
      <c r="J175" s="46">
        <f t="shared" si="2"/>
        <v>821630</v>
      </c>
    </row>
    <row r="176" spans="1:10">
      <c r="A176" s="43">
        <v>175</v>
      </c>
      <c r="B176" s="44">
        <v>311202004708</v>
      </c>
      <c r="C176" s="45" t="s">
        <v>413</v>
      </c>
      <c r="D176" s="44">
        <v>4600071224</v>
      </c>
      <c r="E176" s="44">
        <v>3003578</v>
      </c>
      <c r="F176" s="45" t="s">
        <v>376</v>
      </c>
      <c r="G176" s="46">
        <v>1</v>
      </c>
      <c r="H176" s="43" t="s">
        <v>375</v>
      </c>
      <c r="I176" s="46">
        <v>167349</v>
      </c>
      <c r="J176" s="46">
        <f t="shared" si="2"/>
        <v>167349</v>
      </c>
    </row>
    <row r="177" spans="1:10">
      <c r="A177" s="43">
        <v>176</v>
      </c>
      <c r="B177" s="44">
        <v>311202004708</v>
      </c>
      <c r="C177" s="45" t="s">
        <v>413</v>
      </c>
      <c r="D177" s="44">
        <v>4600071224</v>
      </c>
      <c r="E177" s="44">
        <v>3003586</v>
      </c>
      <c r="F177" s="45" t="s">
        <v>387</v>
      </c>
      <c r="G177" s="46">
        <v>1</v>
      </c>
      <c r="H177" s="43" t="s">
        <v>371</v>
      </c>
      <c r="I177" s="46">
        <v>6390012</v>
      </c>
      <c r="J177" s="46">
        <f t="shared" si="2"/>
        <v>6390012</v>
      </c>
    </row>
    <row r="178" spans="1:10">
      <c r="A178" s="43">
        <v>177</v>
      </c>
      <c r="B178" s="44">
        <v>311202004708</v>
      </c>
      <c r="C178" s="45" t="s">
        <v>413</v>
      </c>
      <c r="D178" s="44">
        <v>4600071224</v>
      </c>
      <c r="E178" s="44">
        <v>3003607</v>
      </c>
      <c r="F178" s="45" t="s">
        <v>383</v>
      </c>
      <c r="G178" s="46">
        <v>1</v>
      </c>
      <c r="H178" s="43" t="s">
        <v>379</v>
      </c>
      <c r="I178" s="46">
        <v>149131</v>
      </c>
      <c r="J178" s="46">
        <f t="shared" si="2"/>
        <v>149131</v>
      </c>
    </row>
    <row r="179" spans="1:10">
      <c r="A179" s="43">
        <v>178</v>
      </c>
      <c r="B179" s="44">
        <v>311202004708</v>
      </c>
      <c r="C179" s="45" t="s">
        <v>413</v>
      </c>
      <c r="D179" s="44">
        <v>4600071224</v>
      </c>
      <c r="E179" s="44">
        <v>3003619</v>
      </c>
      <c r="F179" s="45" t="s">
        <v>397</v>
      </c>
      <c r="G179" s="46">
        <v>1</v>
      </c>
      <c r="H179" s="43" t="s">
        <v>379</v>
      </c>
      <c r="I179" s="46">
        <v>1294780</v>
      </c>
      <c r="J179" s="46">
        <f t="shared" si="2"/>
        <v>1294780</v>
      </c>
    </row>
    <row r="180" spans="1:10">
      <c r="A180" s="43">
        <v>179</v>
      </c>
      <c r="B180" s="44">
        <v>311202004708</v>
      </c>
      <c r="C180" s="45" t="s">
        <v>413</v>
      </c>
      <c r="D180" s="44">
        <v>4600071224</v>
      </c>
      <c r="E180" s="44">
        <v>3003622</v>
      </c>
      <c r="F180" s="45" t="s">
        <v>389</v>
      </c>
      <c r="G180" s="46">
        <v>1</v>
      </c>
      <c r="H180" s="43" t="s">
        <v>379</v>
      </c>
      <c r="I180" s="46">
        <v>988293</v>
      </c>
      <c r="J180" s="46">
        <f t="shared" si="2"/>
        <v>988293</v>
      </c>
    </row>
    <row r="181" spans="1:10">
      <c r="A181" s="43">
        <v>180</v>
      </c>
      <c r="B181" s="44">
        <v>311202004708</v>
      </c>
      <c r="C181" s="45" t="s">
        <v>413</v>
      </c>
      <c r="D181" s="44">
        <v>4600071224</v>
      </c>
      <c r="E181" s="44"/>
      <c r="F181" s="45" t="s">
        <v>401</v>
      </c>
      <c r="G181" s="46">
        <v>1</v>
      </c>
      <c r="H181" s="43" t="s">
        <v>379</v>
      </c>
      <c r="I181" s="46">
        <v>4169830</v>
      </c>
      <c r="J181" s="46">
        <f t="shared" si="2"/>
        <v>4169830</v>
      </c>
    </row>
    <row r="182" spans="1:10">
      <c r="A182" s="43">
        <v>181</v>
      </c>
      <c r="B182" s="44">
        <v>311202004708</v>
      </c>
      <c r="C182" s="45" t="s">
        <v>413</v>
      </c>
      <c r="D182" s="44">
        <v>4600071224</v>
      </c>
      <c r="E182" s="44">
        <v>3003660</v>
      </c>
      <c r="F182" s="45" t="s">
        <v>393</v>
      </c>
      <c r="G182" s="46">
        <v>1</v>
      </c>
      <c r="H182" s="43" t="s">
        <v>371</v>
      </c>
      <c r="I182" s="46">
        <v>717970</v>
      </c>
      <c r="J182" s="46">
        <f t="shared" si="2"/>
        <v>717970</v>
      </c>
    </row>
    <row r="183" spans="1:10">
      <c r="A183" s="43">
        <v>182</v>
      </c>
      <c r="B183" s="44">
        <v>311202004709</v>
      </c>
      <c r="C183" s="45" t="s">
        <v>414</v>
      </c>
      <c r="D183" s="44">
        <v>4600071237</v>
      </c>
      <c r="E183" s="44">
        <v>3003571</v>
      </c>
      <c r="F183" s="45" t="s">
        <v>370</v>
      </c>
      <c r="G183" s="46">
        <v>1</v>
      </c>
      <c r="H183" s="43" t="s">
        <v>371</v>
      </c>
      <c r="I183" s="46">
        <v>821630</v>
      </c>
      <c r="J183" s="46">
        <f t="shared" si="2"/>
        <v>821630</v>
      </c>
    </row>
    <row r="184" spans="1:10">
      <c r="A184" s="43">
        <v>183</v>
      </c>
      <c r="B184" s="44">
        <v>311202004709</v>
      </c>
      <c r="C184" s="45" t="s">
        <v>414</v>
      </c>
      <c r="D184" s="44">
        <v>4600071237</v>
      </c>
      <c r="E184" s="44">
        <v>3003572</v>
      </c>
      <c r="F184" s="45" t="s">
        <v>372</v>
      </c>
      <c r="G184" s="46">
        <v>2700</v>
      </c>
      <c r="H184" s="43" t="s">
        <v>373</v>
      </c>
      <c r="I184" s="46">
        <v>4094</v>
      </c>
      <c r="J184" s="46">
        <f t="shared" si="2"/>
        <v>11053800</v>
      </c>
    </row>
    <row r="185" spans="1:10">
      <c r="A185" s="43">
        <v>184</v>
      </c>
      <c r="B185" s="44">
        <v>311202004709</v>
      </c>
      <c r="C185" s="45" t="s">
        <v>414</v>
      </c>
      <c r="D185" s="44">
        <v>4600071237</v>
      </c>
      <c r="E185" s="44">
        <v>3003577</v>
      </c>
      <c r="F185" s="45" t="s">
        <v>374</v>
      </c>
      <c r="G185" s="46">
        <v>1</v>
      </c>
      <c r="H185" s="43" t="s">
        <v>375</v>
      </c>
      <c r="I185" s="46">
        <v>47159</v>
      </c>
      <c r="J185" s="46">
        <f t="shared" si="2"/>
        <v>47159</v>
      </c>
    </row>
    <row r="186" spans="1:10">
      <c r="A186" s="43">
        <v>185</v>
      </c>
      <c r="B186" s="44">
        <v>311202004709</v>
      </c>
      <c r="C186" s="45" t="s">
        <v>414</v>
      </c>
      <c r="D186" s="44">
        <v>4600071237</v>
      </c>
      <c r="E186" s="44">
        <v>3003578</v>
      </c>
      <c r="F186" s="45" t="s">
        <v>376</v>
      </c>
      <c r="G186" s="46">
        <v>1</v>
      </c>
      <c r="H186" s="43" t="s">
        <v>375</v>
      </c>
      <c r="I186" s="46">
        <v>167349</v>
      </c>
      <c r="J186" s="46">
        <f t="shared" si="2"/>
        <v>167349</v>
      </c>
    </row>
    <row r="187" spans="1:10">
      <c r="A187" s="43">
        <v>186</v>
      </c>
      <c r="B187" s="44">
        <v>311202004709</v>
      </c>
      <c r="C187" s="45" t="s">
        <v>414</v>
      </c>
      <c r="D187" s="44">
        <v>4600071237</v>
      </c>
      <c r="E187" s="44">
        <v>3003579</v>
      </c>
      <c r="F187" s="45" t="s">
        <v>377</v>
      </c>
      <c r="G187" s="46">
        <v>1</v>
      </c>
      <c r="H187" s="43" t="s">
        <v>375</v>
      </c>
      <c r="I187" s="46">
        <v>42495</v>
      </c>
      <c r="J187" s="46">
        <f t="shared" si="2"/>
        <v>42495</v>
      </c>
    </row>
    <row r="188" spans="1:10">
      <c r="A188" s="43">
        <v>187</v>
      </c>
      <c r="B188" s="44">
        <v>311202004709</v>
      </c>
      <c r="C188" s="45" t="s">
        <v>414</v>
      </c>
      <c r="D188" s="44">
        <v>4600071237</v>
      </c>
      <c r="E188" s="44">
        <v>3003598</v>
      </c>
      <c r="F188" s="45" t="s">
        <v>381</v>
      </c>
      <c r="G188" s="46">
        <v>16</v>
      </c>
      <c r="H188" s="43" t="s">
        <v>379</v>
      </c>
      <c r="I188" s="46">
        <v>104353</v>
      </c>
      <c r="J188" s="46">
        <f t="shared" si="2"/>
        <v>1669648</v>
      </c>
    </row>
    <row r="189" spans="1:10">
      <c r="A189" s="43">
        <v>188</v>
      </c>
      <c r="B189" s="44">
        <v>311202004709</v>
      </c>
      <c r="C189" s="45" t="s">
        <v>414</v>
      </c>
      <c r="D189" s="44">
        <v>4600071237</v>
      </c>
      <c r="E189" s="44">
        <v>3003599</v>
      </c>
      <c r="F189" s="45" t="s">
        <v>382</v>
      </c>
      <c r="G189" s="46">
        <v>40</v>
      </c>
      <c r="H189" s="43" t="s">
        <v>379</v>
      </c>
      <c r="I189" s="46">
        <v>72382</v>
      </c>
      <c r="J189" s="46">
        <f t="shared" si="2"/>
        <v>2895280</v>
      </c>
    </row>
    <row r="190" spans="1:10">
      <c r="A190" s="43">
        <v>189</v>
      </c>
      <c r="B190" s="44">
        <v>311202004709</v>
      </c>
      <c r="C190" s="45" t="s">
        <v>414</v>
      </c>
      <c r="D190" s="44">
        <v>4600071237</v>
      </c>
      <c r="E190" s="44">
        <v>3003607</v>
      </c>
      <c r="F190" s="45" t="s">
        <v>383</v>
      </c>
      <c r="G190" s="46">
        <v>1</v>
      </c>
      <c r="H190" s="43" t="s">
        <v>379</v>
      </c>
      <c r="I190" s="46">
        <v>149131</v>
      </c>
      <c r="J190" s="46">
        <f t="shared" si="2"/>
        <v>149131</v>
      </c>
    </row>
    <row r="191" spans="1:10">
      <c r="A191" s="43">
        <v>190</v>
      </c>
      <c r="B191" s="44">
        <v>311202004709</v>
      </c>
      <c r="C191" s="45" t="s">
        <v>414</v>
      </c>
      <c r="D191" s="44">
        <v>4600071237</v>
      </c>
      <c r="E191" s="44">
        <v>3003619</v>
      </c>
      <c r="F191" s="45" t="s">
        <v>397</v>
      </c>
      <c r="G191" s="46">
        <v>1</v>
      </c>
      <c r="H191" s="43" t="s">
        <v>379</v>
      </c>
      <c r="I191" s="46">
        <v>1294780</v>
      </c>
      <c r="J191" s="46">
        <f t="shared" si="2"/>
        <v>1294780</v>
      </c>
    </row>
    <row r="192" spans="1:10">
      <c r="A192" s="43">
        <v>191</v>
      </c>
      <c r="B192" s="44">
        <v>311202004709</v>
      </c>
      <c r="C192" s="45" t="s">
        <v>414</v>
      </c>
      <c r="D192" s="44">
        <v>4600071237</v>
      </c>
      <c r="E192" s="44">
        <v>3003622</v>
      </c>
      <c r="F192" s="45" t="s">
        <v>389</v>
      </c>
      <c r="G192" s="46">
        <v>1</v>
      </c>
      <c r="H192" s="43" t="s">
        <v>379</v>
      </c>
      <c r="I192" s="46">
        <v>988293</v>
      </c>
      <c r="J192" s="46">
        <f t="shared" si="2"/>
        <v>988293</v>
      </c>
    </row>
    <row r="193" spans="1:10">
      <c r="A193" s="43">
        <v>192</v>
      </c>
      <c r="B193" s="44">
        <v>311202004709</v>
      </c>
      <c r="C193" s="45" t="s">
        <v>414</v>
      </c>
      <c r="D193" s="44">
        <v>4600071237</v>
      </c>
      <c r="E193" s="44">
        <v>3003660</v>
      </c>
      <c r="F193" s="45" t="s">
        <v>393</v>
      </c>
      <c r="G193" s="46">
        <v>1</v>
      </c>
      <c r="H193" s="43" t="s">
        <v>371</v>
      </c>
      <c r="I193" s="46">
        <v>717970</v>
      </c>
      <c r="J193" s="46">
        <f t="shared" si="2"/>
        <v>717970</v>
      </c>
    </row>
    <row r="194" spans="1:10">
      <c r="A194" s="43">
        <v>193</v>
      </c>
      <c r="B194" s="44">
        <v>311202004710</v>
      </c>
      <c r="C194" s="45" t="s">
        <v>415</v>
      </c>
      <c r="D194" s="44">
        <v>4600071239</v>
      </c>
      <c r="E194" s="44">
        <v>3003571</v>
      </c>
      <c r="F194" s="45" t="s">
        <v>370</v>
      </c>
      <c r="G194" s="46">
        <v>1</v>
      </c>
      <c r="H194" s="43" t="s">
        <v>371</v>
      </c>
      <c r="I194" s="46">
        <v>821630</v>
      </c>
      <c r="J194" s="46">
        <f t="shared" ref="J194:J257" si="3">G194*I194</f>
        <v>821630</v>
      </c>
    </row>
    <row r="195" spans="1:10">
      <c r="A195" s="43">
        <v>194</v>
      </c>
      <c r="B195" s="44">
        <v>311202004710</v>
      </c>
      <c r="C195" s="45" t="s">
        <v>415</v>
      </c>
      <c r="D195" s="44">
        <v>4600071239</v>
      </c>
      <c r="E195" s="44">
        <v>3003578</v>
      </c>
      <c r="F195" s="45" t="s">
        <v>376</v>
      </c>
      <c r="G195" s="46">
        <v>1</v>
      </c>
      <c r="H195" s="43" t="s">
        <v>375</v>
      </c>
      <c r="I195" s="46">
        <v>167349</v>
      </c>
      <c r="J195" s="46">
        <f t="shared" si="3"/>
        <v>167349</v>
      </c>
    </row>
    <row r="196" spans="1:10">
      <c r="A196" s="43">
        <v>195</v>
      </c>
      <c r="B196" s="44">
        <v>311202004710</v>
      </c>
      <c r="C196" s="45" t="s">
        <v>415</v>
      </c>
      <c r="D196" s="44">
        <v>4600071239</v>
      </c>
      <c r="E196" s="44">
        <v>3003586</v>
      </c>
      <c r="F196" s="45" t="s">
        <v>387</v>
      </c>
      <c r="G196" s="46">
        <v>1</v>
      </c>
      <c r="H196" s="43" t="s">
        <v>371</v>
      </c>
      <c r="I196" s="46">
        <v>6390012</v>
      </c>
      <c r="J196" s="46">
        <f t="shared" si="3"/>
        <v>6390012</v>
      </c>
    </row>
    <row r="197" spans="1:10">
      <c r="A197" s="43">
        <v>196</v>
      </c>
      <c r="B197" s="44">
        <v>311202004710</v>
      </c>
      <c r="C197" s="45" t="s">
        <v>415</v>
      </c>
      <c r="D197" s="44">
        <v>4600071239</v>
      </c>
      <c r="E197" s="44">
        <v>3003607</v>
      </c>
      <c r="F197" s="45" t="s">
        <v>383</v>
      </c>
      <c r="G197" s="46">
        <v>1</v>
      </c>
      <c r="H197" s="43" t="s">
        <v>379</v>
      </c>
      <c r="I197" s="46">
        <v>149131</v>
      </c>
      <c r="J197" s="46">
        <f t="shared" si="3"/>
        <v>149131</v>
      </c>
    </row>
    <row r="198" spans="1:10">
      <c r="A198" s="43">
        <v>197</v>
      </c>
      <c r="B198" s="44">
        <v>311202004710</v>
      </c>
      <c r="C198" s="45" t="s">
        <v>415</v>
      </c>
      <c r="D198" s="44">
        <v>4600071239</v>
      </c>
      <c r="E198" s="44">
        <v>3003619</v>
      </c>
      <c r="F198" s="45" t="s">
        <v>397</v>
      </c>
      <c r="G198" s="46">
        <v>1</v>
      </c>
      <c r="H198" s="43" t="s">
        <v>379</v>
      </c>
      <c r="I198" s="46">
        <v>1294780</v>
      </c>
      <c r="J198" s="46">
        <f t="shared" si="3"/>
        <v>1294780</v>
      </c>
    </row>
    <row r="199" spans="1:10">
      <c r="A199" s="43">
        <v>198</v>
      </c>
      <c r="B199" s="44">
        <v>311202004710</v>
      </c>
      <c r="C199" s="45" t="s">
        <v>415</v>
      </c>
      <c r="D199" s="44">
        <v>4600071239</v>
      </c>
      <c r="E199" s="44">
        <v>3003622</v>
      </c>
      <c r="F199" s="45" t="s">
        <v>389</v>
      </c>
      <c r="G199" s="46">
        <v>1</v>
      </c>
      <c r="H199" s="43" t="s">
        <v>379</v>
      </c>
      <c r="I199" s="46">
        <v>988293</v>
      </c>
      <c r="J199" s="46">
        <f t="shared" si="3"/>
        <v>988293</v>
      </c>
    </row>
    <row r="200" spans="1:10">
      <c r="A200" s="43">
        <v>199</v>
      </c>
      <c r="B200" s="44">
        <v>311202004710</v>
      </c>
      <c r="C200" s="45" t="s">
        <v>415</v>
      </c>
      <c r="D200" s="44">
        <v>4600071239</v>
      </c>
      <c r="E200" s="44">
        <v>3003660</v>
      </c>
      <c r="F200" s="45" t="s">
        <v>393</v>
      </c>
      <c r="G200" s="46">
        <v>1</v>
      </c>
      <c r="H200" s="43" t="s">
        <v>371</v>
      </c>
      <c r="I200" s="46">
        <v>717970</v>
      </c>
      <c r="J200" s="46">
        <f t="shared" si="3"/>
        <v>717970</v>
      </c>
    </row>
    <row r="201" spans="1:10">
      <c r="A201" s="43">
        <v>200</v>
      </c>
      <c r="B201" s="44">
        <v>311202004711</v>
      </c>
      <c r="C201" s="45" t="s">
        <v>416</v>
      </c>
      <c r="D201" s="44">
        <v>4600071416</v>
      </c>
      <c r="E201" s="44">
        <v>3003571</v>
      </c>
      <c r="F201" s="45" t="s">
        <v>370</v>
      </c>
      <c r="G201" s="46">
        <v>1</v>
      </c>
      <c r="H201" s="43" t="s">
        <v>371</v>
      </c>
      <c r="I201" s="46">
        <v>821630</v>
      </c>
      <c r="J201" s="46">
        <f t="shared" si="3"/>
        <v>821630</v>
      </c>
    </row>
    <row r="202" spans="1:10">
      <c r="A202" s="43">
        <v>201</v>
      </c>
      <c r="B202" s="44">
        <v>311202004711</v>
      </c>
      <c r="C202" s="45" t="s">
        <v>416</v>
      </c>
      <c r="D202" s="44">
        <v>4600071416</v>
      </c>
      <c r="E202" s="44">
        <v>3003578</v>
      </c>
      <c r="F202" s="45" t="s">
        <v>376</v>
      </c>
      <c r="G202" s="46">
        <v>1</v>
      </c>
      <c r="H202" s="43" t="s">
        <v>375</v>
      </c>
      <c r="I202" s="46">
        <v>167349</v>
      </c>
      <c r="J202" s="46">
        <f t="shared" si="3"/>
        <v>167349</v>
      </c>
    </row>
    <row r="203" spans="1:10">
      <c r="A203" s="43">
        <v>202</v>
      </c>
      <c r="B203" s="44">
        <v>311202004711</v>
      </c>
      <c r="C203" s="45" t="s">
        <v>416</v>
      </c>
      <c r="D203" s="44">
        <v>4600071416</v>
      </c>
      <c r="E203" s="44">
        <v>3003586</v>
      </c>
      <c r="F203" s="45" t="s">
        <v>387</v>
      </c>
      <c r="G203" s="46">
        <v>1</v>
      </c>
      <c r="H203" s="43" t="s">
        <v>371</v>
      </c>
      <c r="I203" s="46">
        <v>6390012</v>
      </c>
      <c r="J203" s="46">
        <f t="shared" si="3"/>
        <v>6390012</v>
      </c>
    </row>
    <row r="204" spans="1:10">
      <c r="A204" s="43">
        <v>203</v>
      </c>
      <c r="B204" s="44">
        <v>311202004711</v>
      </c>
      <c r="C204" s="45" t="s">
        <v>416</v>
      </c>
      <c r="D204" s="44">
        <v>4600071416</v>
      </c>
      <c r="E204" s="44">
        <v>3003607</v>
      </c>
      <c r="F204" s="45" t="s">
        <v>383</v>
      </c>
      <c r="G204" s="46">
        <v>1</v>
      </c>
      <c r="H204" s="43" t="s">
        <v>379</v>
      </c>
      <c r="I204" s="46">
        <v>149131</v>
      </c>
      <c r="J204" s="46">
        <f t="shared" si="3"/>
        <v>149131</v>
      </c>
    </row>
    <row r="205" spans="1:10">
      <c r="A205" s="43">
        <v>204</v>
      </c>
      <c r="B205" s="44">
        <v>311202004711</v>
      </c>
      <c r="C205" s="45" t="s">
        <v>416</v>
      </c>
      <c r="D205" s="44">
        <v>4600071416</v>
      </c>
      <c r="E205" s="44">
        <v>3003622</v>
      </c>
      <c r="F205" s="45" t="s">
        <v>389</v>
      </c>
      <c r="G205" s="46">
        <v>1</v>
      </c>
      <c r="H205" s="43" t="s">
        <v>379</v>
      </c>
      <c r="I205" s="46">
        <v>988293</v>
      </c>
      <c r="J205" s="46">
        <f t="shared" si="3"/>
        <v>988293</v>
      </c>
    </row>
    <row r="206" spans="1:10">
      <c r="A206" s="43">
        <v>205</v>
      </c>
      <c r="B206" s="44">
        <v>311202004711</v>
      </c>
      <c r="C206" s="45" t="s">
        <v>416</v>
      </c>
      <c r="D206" s="44">
        <v>4600071416</v>
      </c>
      <c r="E206" s="44">
        <v>3003660</v>
      </c>
      <c r="F206" s="45" t="s">
        <v>393</v>
      </c>
      <c r="G206" s="46">
        <v>1</v>
      </c>
      <c r="H206" s="43" t="s">
        <v>371</v>
      </c>
      <c r="I206" s="46">
        <v>717970</v>
      </c>
      <c r="J206" s="46">
        <f t="shared" si="3"/>
        <v>717970</v>
      </c>
    </row>
    <row r="207" spans="1:10">
      <c r="A207" s="43">
        <v>206</v>
      </c>
      <c r="B207" s="44">
        <v>311202004712</v>
      </c>
      <c r="C207" s="45" t="s">
        <v>417</v>
      </c>
      <c r="D207" s="44">
        <v>4600071119</v>
      </c>
      <c r="E207" s="44">
        <v>3003571</v>
      </c>
      <c r="F207" s="45" t="s">
        <v>370</v>
      </c>
      <c r="G207" s="46">
        <v>1</v>
      </c>
      <c r="H207" s="43" t="s">
        <v>371</v>
      </c>
      <c r="I207" s="46">
        <v>821630</v>
      </c>
      <c r="J207" s="46">
        <f t="shared" si="3"/>
        <v>821630</v>
      </c>
    </row>
    <row r="208" spans="1:10">
      <c r="A208" s="43">
        <v>207</v>
      </c>
      <c r="B208" s="44">
        <v>311202004712</v>
      </c>
      <c r="C208" s="45" t="s">
        <v>417</v>
      </c>
      <c r="D208" s="44">
        <v>4600071119</v>
      </c>
      <c r="E208" s="44">
        <v>3003578</v>
      </c>
      <c r="F208" s="45" t="s">
        <v>376</v>
      </c>
      <c r="G208" s="46">
        <v>1</v>
      </c>
      <c r="H208" s="43" t="s">
        <v>375</v>
      </c>
      <c r="I208" s="46">
        <v>167349</v>
      </c>
      <c r="J208" s="46">
        <f t="shared" si="3"/>
        <v>167349</v>
      </c>
    </row>
    <row r="209" spans="1:10">
      <c r="A209" s="43">
        <v>208</v>
      </c>
      <c r="B209" s="44">
        <v>311202004712</v>
      </c>
      <c r="C209" s="45" t="s">
        <v>417</v>
      </c>
      <c r="D209" s="44">
        <v>4600071119</v>
      </c>
      <c r="E209" s="44">
        <v>3003586</v>
      </c>
      <c r="F209" s="45" t="s">
        <v>387</v>
      </c>
      <c r="G209" s="46">
        <v>1</v>
      </c>
      <c r="H209" s="43" t="s">
        <v>371</v>
      </c>
      <c r="I209" s="46">
        <v>6390012</v>
      </c>
      <c r="J209" s="46">
        <f t="shared" si="3"/>
        <v>6390012</v>
      </c>
    </row>
    <row r="210" spans="1:10">
      <c r="A210" s="43">
        <v>209</v>
      </c>
      <c r="B210" s="44">
        <v>311202004712</v>
      </c>
      <c r="C210" s="45" t="s">
        <v>417</v>
      </c>
      <c r="D210" s="44">
        <v>4600071119</v>
      </c>
      <c r="E210" s="44">
        <v>3003607</v>
      </c>
      <c r="F210" s="45" t="s">
        <v>383</v>
      </c>
      <c r="G210" s="46">
        <v>1</v>
      </c>
      <c r="H210" s="43" t="s">
        <v>379</v>
      </c>
      <c r="I210" s="46">
        <v>149131</v>
      </c>
      <c r="J210" s="46">
        <f t="shared" si="3"/>
        <v>149131</v>
      </c>
    </row>
    <row r="211" spans="1:10">
      <c r="A211" s="43">
        <v>210</v>
      </c>
      <c r="B211" s="44">
        <v>311202004712</v>
      </c>
      <c r="C211" s="45" t="s">
        <v>417</v>
      </c>
      <c r="D211" s="44">
        <v>4600071119</v>
      </c>
      <c r="E211" s="44">
        <v>3003622</v>
      </c>
      <c r="F211" s="45" t="s">
        <v>389</v>
      </c>
      <c r="G211" s="46">
        <v>1</v>
      </c>
      <c r="H211" s="43" t="s">
        <v>379</v>
      </c>
      <c r="I211" s="46">
        <v>988293</v>
      </c>
      <c r="J211" s="46">
        <f t="shared" si="3"/>
        <v>988293</v>
      </c>
    </row>
    <row r="212" spans="1:10">
      <c r="A212" s="43">
        <v>211</v>
      </c>
      <c r="B212" s="44">
        <v>311202004712</v>
      </c>
      <c r="C212" s="45" t="s">
        <v>417</v>
      </c>
      <c r="D212" s="44">
        <v>4600071119</v>
      </c>
      <c r="E212" s="44">
        <v>3003660</v>
      </c>
      <c r="F212" s="45" t="s">
        <v>393</v>
      </c>
      <c r="G212" s="46">
        <v>1</v>
      </c>
      <c r="H212" s="43" t="s">
        <v>371</v>
      </c>
      <c r="I212" s="46">
        <v>717970</v>
      </c>
      <c r="J212" s="46">
        <f t="shared" si="3"/>
        <v>717970</v>
      </c>
    </row>
    <row r="213" spans="1:10">
      <c r="A213" s="43">
        <v>212</v>
      </c>
      <c r="B213" s="44">
        <v>311202004714</v>
      </c>
      <c r="C213" s="45" t="s">
        <v>418</v>
      </c>
      <c r="D213" s="44">
        <v>4600071431</v>
      </c>
      <c r="E213" s="44">
        <v>3003571</v>
      </c>
      <c r="F213" s="45" t="s">
        <v>370</v>
      </c>
      <c r="G213" s="46">
        <v>1</v>
      </c>
      <c r="H213" s="43" t="s">
        <v>371</v>
      </c>
      <c r="I213" s="46">
        <v>821630</v>
      </c>
      <c r="J213" s="46">
        <f t="shared" si="3"/>
        <v>821630</v>
      </c>
    </row>
    <row r="214" spans="1:10">
      <c r="A214" s="43">
        <v>213</v>
      </c>
      <c r="B214" s="44">
        <v>311202004714</v>
      </c>
      <c r="C214" s="45" t="s">
        <v>418</v>
      </c>
      <c r="D214" s="44">
        <v>4600071431</v>
      </c>
      <c r="E214" s="44">
        <v>3003578</v>
      </c>
      <c r="F214" s="45" t="s">
        <v>376</v>
      </c>
      <c r="G214" s="46">
        <v>1</v>
      </c>
      <c r="H214" s="43" t="s">
        <v>375</v>
      </c>
      <c r="I214" s="46">
        <v>167349</v>
      </c>
      <c r="J214" s="46">
        <f t="shared" si="3"/>
        <v>167349</v>
      </c>
    </row>
    <row r="215" spans="1:10">
      <c r="A215" s="43">
        <v>214</v>
      </c>
      <c r="B215" s="44">
        <v>311202004714</v>
      </c>
      <c r="C215" s="45" t="s">
        <v>418</v>
      </c>
      <c r="D215" s="44">
        <v>4600071431</v>
      </c>
      <c r="E215" s="44">
        <v>3003586</v>
      </c>
      <c r="F215" s="45" t="s">
        <v>387</v>
      </c>
      <c r="G215" s="46">
        <v>1</v>
      </c>
      <c r="H215" s="43" t="s">
        <v>371</v>
      </c>
      <c r="I215" s="46">
        <v>6390012</v>
      </c>
      <c r="J215" s="46">
        <f t="shared" si="3"/>
        <v>6390012</v>
      </c>
    </row>
    <row r="216" spans="1:10">
      <c r="A216" s="43">
        <v>215</v>
      </c>
      <c r="B216" s="44">
        <v>311202004714</v>
      </c>
      <c r="C216" s="45" t="s">
        <v>418</v>
      </c>
      <c r="D216" s="44">
        <v>4600071431</v>
      </c>
      <c r="E216" s="44">
        <v>3003607</v>
      </c>
      <c r="F216" s="45" t="s">
        <v>383</v>
      </c>
      <c r="G216" s="46">
        <v>1</v>
      </c>
      <c r="H216" s="43" t="s">
        <v>379</v>
      </c>
      <c r="I216" s="46">
        <v>149131</v>
      </c>
      <c r="J216" s="46">
        <f t="shared" si="3"/>
        <v>149131</v>
      </c>
    </row>
    <row r="217" spans="1:10">
      <c r="A217" s="43">
        <v>216</v>
      </c>
      <c r="B217" s="44">
        <v>311202004714</v>
      </c>
      <c r="C217" s="45" t="s">
        <v>418</v>
      </c>
      <c r="D217" s="44">
        <v>4600071431</v>
      </c>
      <c r="E217" s="44">
        <v>3003619</v>
      </c>
      <c r="F217" s="45" t="s">
        <v>397</v>
      </c>
      <c r="G217" s="46">
        <v>1</v>
      </c>
      <c r="H217" s="43" t="s">
        <v>379</v>
      </c>
      <c r="I217" s="46">
        <v>1294780</v>
      </c>
      <c r="J217" s="46">
        <f t="shared" si="3"/>
        <v>1294780</v>
      </c>
    </row>
    <row r="218" spans="1:10">
      <c r="A218" s="43">
        <v>217</v>
      </c>
      <c r="B218" s="44">
        <v>311202004714</v>
      </c>
      <c r="C218" s="45" t="s">
        <v>418</v>
      </c>
      <c r="D218" s="44">
        <v>4600071431</v>
      </c>
      <c r="E218" s="44">
        <v>3003622</v>
      </c>
      <c r="F218" s="45" t="s">
        <v>389</v>
      </c>
      <c r="G218" s="46">
        <v>1</v>
      </c>
      <c r="H218" s="43" t="s">
        <v>379</v>
      </c>
      <c r="I218" s="46">
        <v>988293</v>
      </c>
      <c r="J218" s="46">
        <f t="shared" si="3"/>
        <v>988293</v>
      </c>
    </row>
    <row r="219" spans="1:10">
      <c r="A219" s="43">
        <v>218</v>
      </c>
      <c r="B219" s="44">
        <v>311202004714</v>
      </c>
      <c r="C219" s="45" t="s">
        <v>418</v>
      </c>
      <c r="D219" s="44">
        <v>4600071431</v>
      </c>
      <c r="E219" s="44">
        <v>3003660</v>
      </c>
      <c r="F219" s="45" t="s">
        <v>393</v>
      </c>
      <c r="G219" s="46">
        <v>1</v>
      </c>
      <c r="H219" s="43" t="s">
        <v>371</v>
      </c>
      <c r="I219" s="46">
        <v>717970</v>
      </c>
      <c r="J219" s="46">
        <f t="shared" si="3"/>
        <v>717970</v>
      </c>
    </row>
    <row r="220" spans="1:10">
      <c r="A220" s="43">
        <v>219</v>
      </c>
      <c r="B220" s="44">
        <v>311202004715</v>
      </c>
      <c r="C220" s="45" t="s">
        <v>419</v>
      </c>
      <c r="D220" s="44">
        <v>4600071430</v>
      </c>
      <c r="E220" s="44">
        <v>3003571</v>
      </c>
      <c r="F220" s="45" t="s">
        <v>370</v>
      </c>
      <c r="G220" s="46">
        <v>1</v>
      </c>
      <c r="H220" s="43" t="s">
        <v>371</v>
      </c>
      <c r="I220" s="46">
        <v>821630</v>
      </c>
      <c r="J220" s="46">
        <f t="shared" si="3"/>
        <v>821630</v>
      </c>
    </row>
    <row r="221" spans="1:10">
      <c r="A221" s="43">
        <v>220</v>
      </c>
      <c r="B221" s="44">
        <v>311202004715</v>
      </c>
      <c r="C221" s="45" t="s">
        <v>419</v>
      </c>
      <c r="D221" s="44">
        <v>4600071430</v>
      </c>
      <c r="E221" s="44">
        <v>3003578</v>
      </c>
      <c r="F221" s="45" t="s">
        <v>376</v>
      </c>
      <c r="G221" s="46">
        <v>1</v>
      </c>
      <c r="H221" s="43" t="s">
        <v>375</v>
      </c>
      <c r="I221" s="46">
        <v>167349</v>
      </c>
      <c r="J221" s="46">
        <f t="shared" si="3"/>
        <v>167349</v>
      </c>
    </row>
    <row r="222" spans="1:10">
      <c r="A222" s="43">
        <v>221</v>
      </c>
      <c r="B222" s="44">
        <v>311202004715</v>
      </c>
      <c r="C222" s="45" t="s">
        <v>419</v>
      </c>
      <c r="D222" s="44">
        <v>4600071430</v>
      </c>
      <c r="E222" s="44">
        <v>3003586</v>
      </c>
      <c r="F222" s="45" t="s">
        <v>387</v>
      </c>
      <c r="G222" s="46">
        <v>1</v>
      </c>
      <c r="H222" s="43" t="s">
        <v>371</v>
      </c>
      <c r="I222" s="46">
        <v>6390012</v>
      </c>
      <c r="J222" s="46">
        <f t="shared" si="3"/>
        <v>6390012</v>
      </c>
    </row>
    <row r="223" spans="1:10">
      <c r="A223" s="43">
        <v>222</v>
      </c>
      <c r="B223" s="44">
        <v>311202004715</v>
      </c>
      <c r="C223" s="45" t="s">
        <v>419</v>
      </c>
      <c r="D223" s="44">
        <v>4600071430</v>
      </c>
      <c r="E223" s="44">
        <v>3003607</v>
      </c>
      <c r="F223" s="45" t="s">
        <v>383</v>
      </c>
      <c r="G223" s="46">
        <v>1</v>
      </c>
      <c r="H223" s="43" t="s">
        <v>379</v>
      </c>
      <c r="I223" s="46">
        <v>149131</v>
      </c>
      <c r="J223" s="46">
        <f t="shared" si="3"/>
        <v>149131</v>
      </c>
    </row>
    <row r="224" spans="1:10">
      <c r="A224" s="43">
        <v>223</v>
      </c>
      <c r="B224" s="44">
        <v>311202004715</v>
      </c>
      <c r="C224" s="45" t="s">
        <v>419</v>
      </c>
      <c r="D224" s="44">
        <v>4600071430</v>
      </c>
      <c r="E224" s="44">
        <v>3003622</v>
      </c>
      <c r="F224" s="45" t="s">
        <v>389</v>
      </c>
      <c r="G224" s="46">
        <v>1</v>
      </c>
      <c r="H224" s="43" t="s">
        <v>379</v>
      </c>
      <c r="I224" s="46">
        <v>988293</v>
      </c>
      <c r="J224" s="46">
        <f t="shared" si="3"/>
        <v>988293</v>
      </c>
    </row>
    <row r="225" spans="1:10">
      <c r="A225" s="43">
        <v>224</v>
      </c>
      <c r="B225" s="44">
        <v>311202004715</v>
      </c>
      <c r="C225" s="45" t="s">
        <v>419</v>
      </c>
      <c r="D225" s="44">
        <v>4600071430</v>
      </c>
      <c r="E225" s="44">
        <v>3003660</v>
      </c>
      <c r="F225" s="45" t="s">
        <v>393</v>
      </c>
      <c r="G225" s="46">
        <v>1</v>
      </c>
      <c r="H225" s="43" t="s">
        <v>371</v>
      </c>
      <c r="I225" s="46">
        <v>717970</v>
      </c>
      <c r="J225" s="46">
        <f t="shared" si="3"/>
        <v>717970</v>
      </c>
    </row>
    <row r="226" spans="1:10">
      <c r="A226" s="43">
        <v>225</v>
      </c>
      <c r="B226" s="44">
        <v>311202004716</v>
      </c>
      <c r="C226" s="45" t="s">
        <v>420</v>
      </c>
      <c r="D226" s="44">
        <v>4600071234</v>
      </c>
      <c r="E226" s="44">
        <v>3003571</v>
      </c>
      <c r="F226" s="45" t="s">
        <v>370</v>
      </c>
      <c r="G226" s="46">
        <v>1</v>
      </c>
      <c r="H226" s="43" t="s">
        <v>371</v>
      </c>
      <c r="I226" s="46">
        <v>821630</v>
      </c>
      <c r="J226" s="46">
        <f t="shared" si="3"/>
        <v>821630</v>
      </c>
    </row>
    <row r="227" spans="1:10">
      <c r="A227" s="43">
        <v>226</v>
      </c>
      <c r="B227" s="44">
        <v>311202004716</v>
      </c>
      <c r="C227" s="45" t="s">
        <v>420</v>
      </c>
      <c r="D227" s="44">
        <v>4600071234</v>
      </c>
      <c r="E227" s="44">
        <v>3003578</v>
      </c>
      <c r="F227" s="45" t="s">
        <v>376</v>
      </c>
      <c r="G227" s="46">
        <v>1</v>
      </c>
      <c r="H227" s="43" t="s">
        <v>375</v>
      </c>
      <c r="I227" s="46">
        <v>167349</v>
      </c>
      <c r="J227" s="46">
        <f t="shared" si="3"/>
        <v>167349</v>
      </c>
    </row>
    <row r="228" spans="1:10">
      <c r="A228" s="43">
        <v>227</v>
      </c>
      <c r="B228" s="44">
        <v>311202004716</v>
      </c>
      <c r="C228" s="45" t="s">
        <v>420</v>
      </c>
      <c r="D228" s="44">
        <v>4600071234</v>
      </c>
      <c r="E228" s="44">
        <v>3003586</v>
      </c>
      <c r="F228" s="45" t="s">
        <v>387</v>
      </c>
      <c r="G228" s="46">
        <v>1</v>
      </c>
      <c r="H228" s="43" t="s">
        <v>371</v>
      </c>
      <c r="I228" s="46">
        <v>6390012</v>
      </c>
      <c r="J228" s="46">
        <f t="shared" si="3"/>
        <v>6390012</v>
      </c>
    </row>
    <row r="229" spans="1:10">
      <c r="A229" s="43">
        <v>228</v>
      </c>
      <c r="B229" s="44">
        <v>311202004716</v>
      </c>
      <c r="C229" s="45" t="s">
        <v>420</v>
      </c>
      <c r="D229" s="44">
        <v>4600071234</v>
      </c>
      <c r="E229" s="44">
        <v>3003607</v>
      </c>
      <c r="F229" s="45" t="s">
        <v>383</v>
      </c>
      <c r="G229" s="46">
        <v>1</v>
      </c>
      <c r="H229" s="43" t="s">
        <v>379</v>
      </c>
      <c r="I229" s="46">
        <v>149131</v>
      </c>
      <c r="J229" s="46">
        <f t="shared" si="3"/>
        <v>149131</v>
      </c>
    </row>
    <row r="230" spans="1:10">
      <c r="A230" s="43">
        <v>229</v>
      </c>
      <c r="B230" s="44">
        <v>311202004716</v>
      </c>
      <c r="C230" s="45" t="s">
        <v>420</v>
      </c>
      <c r="D230" s="44">
        <v>4600071234</v>
      </c>
      <c r="E230" s="44">
        <v>3003622</v>
      </c>
      <c r="F230" s="45" t="s">
        <v>389</v>
      </c>
      <c r="G230" s="46">
        <v>1</v>
      </c>
      <c r="H230" s="43" t="s">
        <v>379</v>
      </c>
      <c r="I230" s="46">
        <v>988293</v>
      </c>
      <c r="J230" s="46">
        <f t="shared" si="3"/>
        <v>988293</v>
      </c>
    </row>
    <row r="231" spans="1:10">
      <c r="A231" s="43">
        <v>230</v>
      </c>
      <c r="B231" s="44">
        <v>311202004716</v>
      </c>
      <c r="C231" s="45" t="s">
        <v>420</v>
      </c>
      <c r="D231" s="44">
        <v>4600071234</v>
      </c>
      <c r="E231" s="44">
        <v>3003660</v>
      </c>
      <c r="F231" s="45" t="s">
        <v>393</v>
      </c>
      <c r="G231" s="46">
        <v>1</v>
      </c>
      <c r="H231" s="43" t="s">
        <v>371</v>
      </c>
      <c r="I231" s="46">
        <v>717970</v>
      </c>
      <c r="J231" s="46">
        <f t="shared" si="3"/>
        <v>717970</v>
      </c>
    </row>
    <row r="232" spans="1:10">
      <c r="A232" s="43">
        <v>231</v>
      </c>
      <c r="B232" s="44">
        <v>311202004717</v>
      </c>
      <c r="C232" s="45" t="s">
        <v>421</v>
      </c>
      <c r="D232" s="44">
        <v>4600071149</v>
      </c>
      <c r="E232" s="44">
        <v>3003571</v>
      </c>
      <c r="F232" s="45" t="s">
        <v>370</v>
      </c>
      <c r="G232" s="46">
        <v>1</v>
      </c>
      <c r="H232" s="43" t="s">
        <v>371</v>
      </c>
      <c r="I232" s="46">
        <v>821630</v>
      </c>
      <c r="J232" s="46">
        <f t="shared" si="3"/>
        <v>821630</v>
      </c>
    </row>
    <row r="233" spans="1:10">
      <c r="A233" s="43">
        <v>232</v>
      </c>
      <c r="B233" s="44">
        <v>311202004717</v>
      </c>
      <c r="C233" s="45" t="s">
        <v>421</v>
      </c>
      <c r="D233" s="44">
        <v>4600071149</v>
      </c>
      <c r="E233" s="44">
        <v>3003578</v>
      </c>
      <c r="F233" s="45" t="s">
        <v>376</v>
      </c>
      <c r="G233" s="46">
        <v>1</v>
      </c>
      <c r="H233" s="43" t="s">
        <v>375</v>
      </c>
      <c r="I233" s="46">
        <v>167349</v>
      </c>
      <c r="J233" s="46">
        <f t="shared" si="3"/>
        <v>167349</v>
      </c>
    </row>
    <row r="234" spans="1:10">
      <c r="A234" s="43">
        <v>233</v>
      </c>
      <c r="B234" s="44">
        <v>311202004717</v>
      </c>
      <c r="C234" s="45" t="s">
        <v>421</v>
      </c>
      <c r="D234" s="44">
        <v>4600071149</v>
      </c>
      <c r="E234" s="44">
        <v>3003586</v>
      </c>
      <c r="F234" s="45" t="s">
        <v>387</v>
      </c>
      <c r="G234" s="46">
        <v>1</v>
      </c>
      <c r="H234" s="43" t="s">
        <v>371</v>
      </c>
      <c r="I234" s="46">
        <v>6390012</v>
      </c>
      <c r="J234" s="46">
        <f t="shared" si="3"/>
        <v>6390012</v>
      </c>
    </row>
    <row r="235" spans="1:10">
      <c r="A235" s="43">
        <v>234</v>
      </c>
      <c r="B235" s="44">
        <v>311202004717</v>
      </c>
      <c r="C235" s="45" t="s">
        <v>421</v>
      </c>
      <c r="D235" s="44">
        <v>4600071149</v>
      </c>
      <c r="E235" s="44">
        <v>3003607</v>
      </c>
      <c r="F235" s="45" t="s">
        <v>383</v>
      </c>
      <c r="G235" s="46">
        <v>1</v>
      </c>
      <c r="H235" s="43" t="s">
        <v>379</v>
      </c>
      <c r="I235" s="46">
        <v>149131</v>
      </c>
      <c r="J235" s="46">
        <f t="shared" si="3"/>
        <v>149131</v>
      </c>
    </row>
    <row r="236" spans="1:10">
      <c r="A236" s="43">
        <v>235</v>
      </c>
      <c r="B236" s="44">
        <v>311202004717</v>
      </c>
      <c r="C236" s="45" t="s">
        <v>421</v>
      </c>
      <c r="D236" s="44">
        <v>4600071149</v>
      </c>
      <c r="E236" s="44">
        <v>3003622</v>
      </c>
      <c r="F236" s="45" t="s">
        <v>389</v>
      </c>
      <c r="G236" s="46">
        <v>1</v>
      </c>
      <c r="H236" s="43" t="s">
        <v>379</v>
      </c>
      <c r="I236" s="46">
        <v>988293</v>
      </c>
      <c r="J236" s="46">
        <f t="shared" si="3"/>
        <v>988293</v>
      </c>
    </row>
    <row r="237" spans="1:10">
      <c r="A237" s="43">
        <v>236</v>
      </c>
      <c r="B237" s="44">
        <v>311202004717</v>
      </c>
      <c r="C237" s="45" t="s">
        <v>421</v>
      </c>
      <c r="D237" s="44">
        <v>4600071149</v>
      </c>
      <c r="E237" s="44">
        <v>3003660</v>
      </c>
      <c r="F237" s="45" t="s">
        <v>393</v>
      </c>
      <c r="G237" s="46">
        <v>1</v>
      </c>
      <c r="H237" s="43" t="s">
        <v>371</v>
      </c>
      <c r="I237" s="46">
        <v>717970</v>
      </c>
      <c r="J237" s="46">
        <f t="shared" si="3"/>
        <v>717970</v>
      </c>
    </row>
    <row r="238" spans="1:10">
      <c r="A238" s="43">
        <v>237</v>
      </c>
      <c r="B238" s="44">
        <v>311202004725</v>
      </c>
      <c r="C238" s="45" t="s">
        <v>422</v>
      </c>
      <c r="D238" s="44">
        <v>4600115588</v>
      </c>
      <c r="E238" s="44">
        <v>3003571</v>
      </c>
      <c r="F238" s="45" t="s">
        <v>370</v>
      </c>
      <c r="G238" s="46">
        <v>1</v>
      </c>
      <c r="H238" s="43" t="s">
        <v>371</v>
      </c>
      <c r="I238" s="46">
        <v>821630</v>
      </c>
      <c r="J238" s="46">
        <f t="shared" si="3"/>
        <v>821630</v>
      </c>
    </row>
    <row r="239" spans="1:10">
      <c r="A239" s="43">
        <v>238</v>
      </c>
      <c r="B239" s="44">
        <v>311202004725</v>
      </c>
      <c r="C239" s="45" t="s">
        <v>422</v>
      </c>
      <c r="D239" s="44">
        <v>4600115588</v>
      </c>
      <c r="E239" s="44">
        <v>3003572</v>
      </c>
      <c r="F239" s="45" t="s">
        <v>372</v>
      </c>
      <c r="G239" s="46">
        <v>1750</v>
      </c>
      <c r="H239" s="43" t="s">
        <v>373</v>
      </c>
      <c r="I239" s="46">
        <v>4094</v>
      </c>
      <c r="J239" s="46">
        <f t="shared" si="3"/>
        <v>7164500</v>
      </c>
    </row>
    <row r="240" spans="1:10">
      <c r="A240" s="43">
        <v>239</v>
      </c>
      <c r="B240" s="44">
        <v>311202004725</v>
      </c>
      <c r="C240" s="45" t="s">
        <v>422</v>
      </c>
      <c r="D240" s="44">
        <v>4600115588</v>
      </c>
      <c r="E240" s="44">
        <v>3003577</v>
      </c>
      <c r="F240" s="45" t="s">
        <v>374</v>
      </c>
      <c r="G240" s="46">
        <v>5</v>
      </c>
      <c r="H240" s="43" t="s">
        <v>375</v>
      </c>
      <c r="I240" s="46">
        <v>47159</v>
      </c>
      <c r="J240" s="46">
        <f t="shared" si="3"/>
        <v>235795</v>
      </c>
    </row>
    <row r="241" spans="1:10">
      <c r="A241" s="43">
        <v>240</v>
      </c>
      <c r="B241" s="44">
        <v>311202004725</v>
      </c>
      <c r="C241" s="45" t="s">
        <v>422</v>
      </c>
      <c r="D241" s="44">
        <v>4600115588</v>
      </c>
      <c r="E241" s="44">
        <v>3003578</v>
      </c>
      <c r="F241" s="45" t="s">
        <v>376</v>
      </c>
      <c r="G241" s="46">
        <v>5</v>
      </c>
      <c r="H241" s="43" t="s">
        <v>375</v>
      </c>
      <c r="I241" s="46">
        <v>167349</v>
      </c>
      <c r="J241" s="46">
        <f t="shared" si="3"/>
        <v>836745</v>
      </c>
    </row>
    <row r="242" spans="1:10">
      <c r="A242" s="43">
        <v>241</v>
      </c>
      <c r="B242" s="44">
        <v>311202004725</v>
      </c>
      <c r="C242" s="45" t="s">
        <v>422</v>
      </c>
      <c r="D242" s="44">
        <v>4600115588</v>
      </c>
      <c r="E242" s="44">
        <v>3003579</v>
      </c>
      <c r="F242" s="45" t="s">
        <v>377</v>
      </c>
      <c r="G242" s="46">
        <v>4</v>
      </c>
      <c r="H242" s="43" t="s">
        <v>375</v>
      </c>
      <c r="I242" s="46">
        <v>42495</v>
      </c>
      <c r="J242" s="46">
        <f t="shared" si="3"/>
        <v>169980</v>
      </c>
    </row>
    <row r="243" spans="1:10">
      <c r="A243" s="43">
        <v>242</v>
      </c>
      <c r="B243" s="44">
        <v>311202004725</v>
      </c>
      <c r="C243" s="45" t="s">
        <v>422</v>
      </c>
      <c r="D243" s="44">
        <v>4600115588</v>
      </c>
      <c r="E243" s="44">
        <v>3003581</v>
      </c>
      <c r="F243" s="45" t="s">
        <v>378</v>
      </c>
      <c r="G243" s="46">
        <v>37</v>
      </c>
      <c r="H243" s="43" t="s">
        <v>379</v>
      </c>
      <c r="I243" s="46">
        <v>11384</v>
      </c>
      <c r="J243" s="46">
        <f t="shared" si="3"/>
        <v>421208</v>
      </c>
    </row>
    <row r="244" spans="1:10">
      <c r="A244" s="43">
        <v>243</v>
      </c>
      <c r="B244" s="44">
        <v>311202004725</v>
      </c>
      <c r="C244" s="45" t="s">
        <v>422</v>
      </c>
      <c r="D244" s="44">
        <v>4600115588</v>
      </c>
      <c r="E244" s="44">
        <v>3003594</v>
      </c>
      <c r="F244" s="45" t="s">
        <v>380</v>
      </c>
      <c r="G244" s="46">
        <v>2</v>
      </c>
      <c r="H244" s="43" t="s">
        <v>375</v>
      </c>
      <c r="I244" s="46">
        <v>566072</v>
      </c>
      <c r="J244" s="46">
        <f t="shared" si="3"/>
        <v>1132144</v>
      </c>
    </row>
    <row r="245" spans="1:10">
      <c r="A245" s="43">
        <v>244</v>
      </c>
      <c r="B245" s="44">
        <v>311202004725</v>
      </c>
      <c r="C245" s="45" t="s">
        <v>422</v>
      </c>
      <c r="D245" s="44">
        <v>4600115588</v>
      </c>
      <c r="E245" s="44">
        <v>3003598</v>
      </c>
      <c r="F245" s="45" t="s">
        <v>381</v>
      </c>
      <c r="G245" s="46">
        <v>17</v>
      </c>
      <c r="H245" s="43" t="s">
        <v>379</v>
      </c>
      <c r="I245" s="46">
        <v>104353</v>
      </c>
      <c r="J245" s="46">
        <f t="shared" si="3"/>
        <v>1774001</v>
      </c>
    </row>
    <row r="246" spans="1:10">
      <c r="A246" s="43">
        <v>245</v>
      </c>
      <c r="B246" s="44">
        <v>311202004725</v>
      </c>
      <c r="C246" s="45" t="s">
        <v>422</v>
      </c>
      <c r="D246" s="44">
        <v>4600115588</v>
      </c>
      <c r="E246" s="44">
        <v>3003599</v>
      </c>
      <c r="F246" s="45" t="s">
        <v>382</v>
      </c>
      <c r="G246" s="46">
        <v>20</v>
      </c>
      <c r="H246" s="43" t="s">
        <v>379</v>
      </c>
      <c r="I246" s="46">
        <v>72382</v>
      </c>
      <c r="J246" s="46">
        <f t="shared" si="3"/>
        <v>1447640</v>
      </c>
    </row>
    <row r="247" spans="1:10">
      <c r="A247" s="43">
        <v>246</v>
      </c>
      <c r="B247" s="44">
        <v>311202004725</v>
      </c>
      <c r="C247" s="45" t="s">
        <v>422</v>
      </c>
      <c r="D247" s="44">
        <v>4600115588</v>
      </c>
      <c r="E247" s="44">
        <v>3003618</v>
      </c>
      <c r="F247" s="45" t="s">
        <v>384</v>
      </c>
      <c r="G247" s="46">
        <v>1</v>
      </c>
      <c r="H247" s="43" t="s">
        <v>379</v>
      </c>
      <c r="I247" s="46">
        <v>1089630</v>
      </c>
      <c r="J247" s="46">
        <f t="shared" si="3"/>
        <v>1089630</v>
      </c>
    </row>
    <row r="248" spans="1:10">
      <c r="A248" s="43">
        <v>247</v>
      </c>
      <c r="B248" s="44">
        <v>311202004725</v>
      </c>
      <c r="C248" s="45" t="s">
        <v>422</v>
      </c>
      <c r="D248" s="44">
        <v>4600115588</v>
      </c>
      <c r="E248" s="44">
        <v>3003623</v>
      </c>
      <c r="F248" s="45" t="s">
        <v>385</v>
      </c>
      <c r="G248" s="46">
        <v>2</v>
      </c>
      <c r="H248" s="43" t="s">
        <v>379</v>
      </c>
      <c r="I248" s="46">
        <v>987673</v>
      </c>
      <c r="J248" s="46">
        <f t="shared" si="3"/>
        <v>1975346</v>
      </c>
    </row>
    <row r="249" spans="1:10">
      <c r="A249" s="43">
        <v>248</v>
      </c>
      <c r="B249" s="44">
        <v>311202004726</v>
      </c>
      <c r="C249" s="45" t="s">
        <v>423</v>
      </c>
      <c r="D249" s="44">
        <v>4600115584</v>
      </c>
      <c r="E249" s="44">
        <v>3003571</v>
      </c>
      <c r="F249" s="45" t="s">
        <v>370</v>
      </c>
      <c r="G249" s="46">
        <v>1</v>
      </c>
      <c r="H249" s="43" t="s">
        <v>371</v>
      </c>
      <c r="I249" s="46">
        <v>821630</v>
      </c>
      <c r="J249" s="46">
        <f t="shared" si="3"/>
        <v>821630</v>
      </c>
    </row>
    <row r="250" spans="1:10">
      <c r="A250" s="43">
        <v>249</v>
      </c>
      <c r="B250" s="44">
        <v>311202004726</v>
      </c>
      <c r="C250" s="45" t="s">
        <v>423</v>
      </c>
      <c r="D250" s="44">
        <v>4600115584</v>
      </c>
      <c r="E250" s="44">
        <v>3003579</v>
      </c>
      <c r="F250" s="45" t="s">
        <v>377</v>
      </c>
      <c r="G250" s="46">
        <v>5</v>
      </c>
      <c r="H250" s="43" t="s">
        <v>375</v>
      </c>
      <c r="I250" s="46">
        <v>42495</v>
      </c>
      <c r="J250" s="46">
        <f t="shared" si="3"/>
        <v>212475</v>
      </c>
    </row>
    <row r="251" spans="1:10">
      <c r="A251" s="43">
        <v>250</v>
      </c>
      <c r="B251" s="44">
        <v>311202004726</v>
      </c>
      <c r="C251" s="45" t="s">
        <v>423</v>
      </c>
      <c r="D251" s="44">
        <v>4600115584</v>
      </c>
      <c r="E251" s="44">
        <v>3003586</v>
      </c>
      <c r="F251" s="45" t="s">
        <v>387</v>
      </c>
      <c r="G251" s="46">
        <v>1</v>
      </c>
      <c r="H251" s="43" t="s">
        <v>371</v>
      </c>
      <c r="I251" s="46">
        <v>6390012</v>
      </c>
      <c r="J251" s="46">
        <f t="shared" si="3"/>
        <v>6390012</v>
      </c>
    </row>
    <row r="252" spans="1:10">
      <c r="A252" s="43">
        <v>251</v>
      </c>
      <c r="B252" s="44">
        <v>311202004726</v>
      </c>
      <c r="C252" s="45" t="s">
        <v>423</v>
      </c>
      <c r="D252" s="44">
        <v>4600115584</v>
      </c>
      <c r="E252" s="44">
        <v>3003594</v>
      </c>
      <c r="F252" s="45" t="s">
        <v>380</v>
      </c>
      <c r="G252" s="46">
        <v>2</v>
      </c>
      <c r="H252" s="43" t="s">
        <v>375</v>
      </c>
      <c r="I252" s="46">
        <v>566072</v>
      </c>
      <c r="J252" s="46">
        <f t="shared" si="3"/>
        <v>1132144</v>
      </c>
    </row>
    <row r="253" spans="1:10">
      <c r="A253" s="43">
        <v>252</v>
      </c>
      <c r="B253" s="44">
        <v>311202004726</v>
      </c>
      <c r="C253" s="45" t="s">
        <v>423</v>
      </c>
      <c r="D253" s="44">
        <v>4600115584</v>
      </c>
      <c r="E253" s="44">
        <v>3003618</v>
      </c>
      <c r="F253" s="45" t="s">
        <v>384</v>
      </c>
      <c r="G253" s="46">
        <v>1</v>
      </c>
      <c r="H253" s="43" t="s">
        <v>379</v>
      </c>
      <c r="I253" s="46">
        <v>1089630</v>
      </c>
      <c r="J253" s="46">
        <f t="shared" si="3"/>
        <v>1089630</v>
      </c>
    </row>
    <row r="254" spans="1:10">
      <c r="A254" s="43">
        <v>253</v>
      </c>
      <c r="B254" s="44">
        <v>311202004726</v>
      </c>
      <c r="C254" s="45" t="s">
        <v>423</v>
      </c>
      <c r="D254" s="44">
        <v>4600115584</v>
      </c>
      <c r="E254" s="44">
        <v>3003623</v>
      </c>
      <c r="F254" s="45" t="s">
        <v>385</v>
      </c>
      <c r="G254" s="46">
        <v>2</v>
      </c>
      <c r="H254" s="43" t="s">
        <v>379</v>
      </c>
      <c r="I254" s="46">
        <v>987673</v>
      </c>
      <c r="J254" s="46">
        <f t="shared" si="3"/>
        <v>1975346</v>
      </c>
    </row>
    <row r="255" spans="1:10">
      <c r="I255" s="40" t="s">
        <v>359</v>
      </c>
      <c r="J255" s="47">
        <f>SUM(J2:J254)</f>
        <v>412126317</v>
      </c>
    </row>
  </sheetData>
  <autoFilter ref="A1:J254" xr:uid="{00000000-0009-0000-0000-000002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Layanan Diskominfo</vt:lpstr>
      <vt:lpstr>Sheet2</vt:lpstr>
      <vt:lpstr>Rincian RAB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Ahmad Izhar</cp:lastModifiedBy>
  <dcterms:created xsi:type="dcterms:W3CDTF">2026-10-15T07:17:22Z</dcterms:created>
  <dcterms:modified xsi:type="dcterms:W3CDTF">2026-10-15T07:17:32Z</dcterms:modified>
</cp:coreProperties>
</file>